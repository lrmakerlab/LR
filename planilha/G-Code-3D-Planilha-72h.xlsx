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culadora" sheetId="1" state="visible" r:id="rId3"/>
    <sheet name="20 Alvos" sheetId="2" state="visible" r:id="rId4"/>
    <sheet name="Placar 72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7" authorId="0">
      <text>
        <r>
          <rPr>
            <sz val="10"/>
            <rFont val="Arial"/>
            <family val="2"/>
          </rPr>
          <t xml:space="preserve">Linha de exemplo com os números do G-08 (kit de entrega de chaves). Apague ou escreva por cima.</t>
        </r>
      </text>
    </comment>
    <comment ref="D8" authorId="0">
      <text>
        <r>
          <rPr>
            <sz val="10"/>
            <rFont val="Arial"/>
            <family val="2"/>
          </rPr>
          <t xml:space="preserve">Hipótese: preço médio de um rolo de 1 kg. Troque pelo que você paga.</t>
        </r>
      </text>
    </comment>
    <comment ref="D9" authorId="0">
      <text>
        <r>
          <rPr>
            <sz val="10"/>
            <rFont val="Arial"/>
            <family val="2"/>
          </rPr>
          <t xml:space="preserve">Mesmo valor usado nos manuais: 15% para purga, suporte e peça perdida.</t>
        </r>
      </text>
    </comment>
    <comment ref="D10" authorId="0">
      <text>
        <r>
          <rPr>
            <sz val="10"/>
            <rFont val="Arial"/>
            <family val="2"/>
          </rPr>
          <t xml:space="preserve">Hipótese para impressora de mesa aquecida. Confira na etiqueta da fonte.</t>
        </r>
      </text>
    </comment>
    <comment ref="D11" authorId="0">
      <text>
        <r>
          <rPr>
            <sz val="10"/>
            <rFont val="Arial"/>
            <family val="2"/>
          </rPr>
          <t xml:space="preserve">Hipótese. Veja o valor na sua conta de luz, com impostos.</t>
        </r>
      </text>
    </comment>
    <comment ref="D12" authorId="0">
      <text>
        <r>
          <rPr>
            <sz val="10"/>
            <rFont val="Arial"/>
            <family val="2"/>
          </rPr>
          <t xml:space="preserve">Regra do G-Code 3D: nenhum pedido abaixo de R$ 15 líquidos por hora de máquina.</t>
        </r>
      </text>
    </comment>
    <comment ref="D13" authorId="0">
      <text>
        <r>
          <rPr>
            <sz val="10"/>
            <rFont val="Arial"/>
            <family val="2"/>
          </rPr>
          <t xml:space="preserve">Quanto você quer ganhar por hora de máquina. Define o preço sugerido. Hipótese.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Linha de exemplo. Apague ou escreva por cima.</t>
        </r>
      </text>
    </comment>
  </commentList>
</comments>
</file>

<file path=xl/sharedStrings.xml><?xml version="1.0" encoding="utf-8"?>
<sst xmlns="http://schemas.openxmlformats.org/spreadsheetml/2006/main" count="168" uniqueCount="131">
  <si>
    <t xml:space="preserve">LR MAKER LAB · G-CODE 3D</t>
  </si>
  <si>
    <t xml:space="preserve">Calculadora de pedido</t>
  </si>
  <si>
    <t xml:space="preserve">Custo real, hora de máquina, piso, preço sugerido e margem. Faça a conta antes de responder qualquer orçamento.</t>
  </si>
  <si>
    <t xml:space="preserve">Como ler as cores:</t>
  </si>
  <si>
    <t xml:space="preserve">Você preenche</t>
  </si>
  <si>
    <t xml:space="preserve">Calculado, não mexa</t>
  </si>
  <si>
    <t xml:space="preserve">Vem de outra aba</t>
  </si>
  <si>
    <t xml:space="preserve">CONFIGURAÇÃO · preencha uma vez com os seus números</t>
  </si>
  <si>
    <t xml:space="preserve">Preço do filamento (R$ por kg)</t>
  </si>
  <si>
    <t xml:space="preserve">Hipótese: preço médio de um rolo de 1 kg. Troque pelo que você paga.</t>
  </si>
  <si>
    <t xml:space="preserve">Perda e falhas (sobre o filamento)</t>
  </si>
  <si>
    <t xml:space="preserve">Mesmo valor usado nos manuais: 15% para purga, suporte e peça perdida.</t>
  </si>
  <si>
    <t xml:space="preserve">Potência média da impressora (W)</t>
  </si>
  <si>
    <t xml:space="preserve">Hipótese para impressora de mesa aquecida. Confira na etiqueta da fonte.</t>
  </si>
  <si>
    <t xml:space="preserve">Tarifa de energia (R$ por kWh)</t>
  </si>
  <si>
    <t xml:space="preserve">Hipótese. Veja o valor na sua conta de luz, com impostos.</t>
  </si>
  <si>
    <t xml:space="preserve">Piso por hora de máquina (R$)</t>
  </si>
  <si>
    <t xml:space="preserve">Regra do G-Code 3D: nenhum pedido abaixo de R$ 15 líquidos por hora de máquina.</t>
  </si>
  <si>
    <t xml:space="preserve">Meta de retorno por hora (R$)</t>
  </si>
  <si>
    <t xml:space="preserve">Quanto você quer ganhar por hora de máquina. Define o preço sugerido. Hipótese.</t>
  </si>
  <si>
    <t xml:space="preserve">PEDIDOS · uma linha por orçamento</t>
  </si>
  <si>
    <t xml:space="preserve">Pedido / cliente</t>
  </si>
  <si>
    <t xml:space="preserve">G-Code</t>
  </si>
  <si>
    <t xml:space="preserve">Peças</t>
  </si>
  <si>
    <t xml:space="preserve">Filamento (g)</t>
  </si>
  <si>
    <t xml:space="preserve">Horas de máquina</t>
  </si>
  <si>
    <t xml:space="preserve">Extras (R$)
embalagem, argola, ímã</t>
  </si>
  <si>
    <t xml:space="preserve">Filamento (R$)</t>
  </si>
  <si>
    <t xml:space="preserve">Energia (R$)</t>
  </si>
  <si>
    <t xml:space="preserve">Custo real (R$)</t>
  </si>
  <si>
    <t xml:space="preserve">Piso (R$)
custo + h × piso</t>
  </si>
  <si>
    <t xml:space="preserve">Preço sugerido (R$)
custo + h × meta</t>
  </si>
  <si>
    <t xml:space="preserve">Seu preço (R$)</t>
  </si>
  <si>
    <t xml:space="preserve">Margem (R$)</t>
  </si>
  <si>
    <t xml:space="preserve">Margem (%)</t>
  </si>
  <si>
    <t xml:space="preserve">Retorno por hora (R$)</t>
  </si>
  <si>
    <t xml:space="preserve">Preço por peça (R$)</t>
  </si>
  <si>
    <t xml:space="preserve">Situação</t>
  </si>
  <si>
    <t xml:space="preserve">Exemplo · kit de entrega do corretor</t>
  </si>
  <si>
    <t xml:space="preserve">G-08</t>
  </si>
  <si>
    <t xml:space="preserve">Como a conta funciona (a mesma dos manuais):</t>
  </si>
  <si>
    <t xml:space="preserve">Custo real = filamento com perda + energia + extras.  Piso = custo real + horas × R$ 15.  Margem = seu preço − custo real.  Retorno por hora = margem ÷ horas de máquina.</t>
  </si>
  <si>
    <t xml:space="preserve">Horas de máquina: use o tempo do fatiador para o pedido inteiro, contando as mesas cheias. Tempo de arte, mensagem e ida à loja não entra aqui: ele é o motivo de o piso existir.</t>
  </si>
  <si>
    <t xml:space="preserve">Todo número desta planilha é hipótese a validar: preço de filamento, energia, tempos e preços mudam com a sua impressora, o seu filamento e a sua região.</t>
  </si>
  <si>
    <t xml:space="preserve">20 Alvos</t>
  </si>
  <si>
    <t xml:space="preserve">Prospecção com status. Preencha no carro, depois de cada visita; à noite, confira a coluna Volto em.</t>
  </si>
  <si>
    <t xml:space="preserve">RESUMO</t>
  </si>
  <si>
    <t xml:space="preserve">Alvos listados</t>
  </si>
  <si>
    <t xml:space="preserve">Voltas vencidas ou para hoje</t>
  </si>
  <si>
    <t xml:space="preserve">Visitas feitas</t>
  </si>
  <si>
    <t xml:space="preserve">Total proposto (R$)</t>
  </si>
  <si>
    <t xml:space="preserve">Propostas na mão</t>
  </si>
  <si>
    <t xml:space="preserve">Total fechado (R$)</t>
  </si>
  <si>
    <t xml:space="preserve">Fecharam</t>
  </si>
  <si>
    <t xml:space="preserve">Oportunidades ouvidas</t>
  </si>
  <si>
    <t xml:space="preserve">Status: A visitar → Visitado → Amostra deixada → Proposta entregue → Follow-up 48h → 7 dias → final → Fechou ou Não agora. "Proposta na mão" é Sim só quando a proposta impressa ficou com quem decide.</t>
  </si>
  <si>
    <t xml:space="preserve">Volto em fica verde-claro quando chega o dia. Oportunidades ouvidas: o que ele pediu que não era o seu produto (seção 11 do manual).</t>
  </si>
  <si>
    <t xml:space="preserve">#</t>
  </si>
  <si>
    <t xml:space="preserve">Comércio</t>
  </si>
  <si>
    <t xml:space="preserve">Bairro</t>
  </si>
  <si>
    <t xml:space="preserve">Quem decide</t>
  </si>
  <si>
    <t xml:space="preserve">WhatsApp ou Instagram</t>
  </si>
  <si>
    <t xml:space="preserve">Nota no Google</t>
  </si>
  <si>
    <t xml:space="preserve">Data da visita</t>
  </si>
  <si>
    <t xml:space="preserve">Status</t>
  </si>
  <si>
    <t xml:space="preserve">Proposta na mão?</t>
  </si>
  <si>
    <t xml:space="preserve">Objeção, nas palavras exatas</t>
  </si>
  <si>
    <t xml:space="preserve">Oportunidade ouvida</t>
  </si>
  <si>
    <t xml:space="preserve">Volto em</t>
  </si>
  <si>
    <t xml:space="preserve">Valor proposto (R$)</t>
  </si>
  <si>
    <t xml:space="preserve">Valor fechado (R$)</t>
  </si>
  <si>
    <t xml:space="preserve">Exemplo · Imobiliária Casa Boa</t>
  </si>
  <si>
    <t xml:space="preserve">Centro</t>
  </si>
  <si>
    <t xml:space="preserve">Marcos, gerente comercial</t>
  </si>
  <si>
    <t xml:space="preserve">@casaboa</t>
  </si>
  <si>
    <t xml:space="preserve">Proposta entregue</t>
  </si>
  <si>
    <t xml:space="preserve">Sim</t>
  </si>
  <si>
    <t xml:space="preserve">Vou levar para a reunião dos sócios.</t>
  </si>
  <si>
    <t xml:space="preserve">Placas de mesa para 6 corretores</t>
  </si>
  <si>
    <t xml:space="preserve">Placar 72h</t>
  </si>
  <si>
    <t xml:space="preserve">Em 72 horas, você sai da impressora parada para três propostas entregues na mão de um comerciante.</t>
  </si>
  <si>
    <t xml:space="preserve">G-Code escolhido no Seletor</t>
  </si>
  <si>
    <t xml:space="preserve">Marque Sim só quando o marco estiver 100% feito. Meio feito é Não.</t>
  </si>
  <si>
    <t xml:space="preserve">Dia 1 começa em</t>
  </si>
  <si>
    <t xml:space="preserve">Dia</t>
  </si>
  <si>
    <t xml:space="preserve">Marco</t>
  </si>
  <si>
    <t xml:space="preserve">Feito?</t>
  </si>
  <si>
    <t xml:space="preserve">Data</t>
  </si>
  <si>
    <t xml:space="preserve">Como saber que está feito</t>
  </si>
  <si>
    <t xml:space="preserve">Dia 1 · Preparar</t>
  </si>
  <si>
    <t xml:space="preserve">Kit de amostra impresso: dois jogos</t>
  </si>
  <si>
    <t xml:space="preserve">Não</t>
  </si>
  <si>
    <t xml:space="preserve">As peças da seção 06 do seu manual, conferidas e sem defeito</t>
  </si>
  <si>
    <t xml:space="preserve">Embalagem montada, com etiqueta e cartão</t>
  </si>
  <si>
    <t xml:space="preserve">Caixa pronta para deixar no balcão</t>
  </si>
  <si>
    <t xml:space="preserve">20 alvos listados na aba 20 Alvos</t>
  </si>
  <si>
    <t xml:space="preserve">Coluna Comércio com 20 nomes</t>
  </si>
  <si>
    <t xml:space="preserve">Proposta de três níveis impressa</t>
  </si>
  <si>
    <t xml:space="preserve">Três cópias, com preço em cada nível</t>
  </si>
  <si>
    <t xml:space="preserve">Script de 40 segundos e as seis respostas decorados</t>
  </si>
  <si>
    <t xml:space="preserve">Você falou em voz alta sem ler</t>
  </si>
  <si>
    <t xml:space="preserve">Dia 2 · Rua</t>
  </si>
  <si>
    <t xml:space="preserve">Visitas feitas no horário do manual</t>
  </si>
  <si>
    <t xml:space="preserve">Aba 20 Alvos com data de visita</t>
  </si>
  <si>
    <t xml:space="preserve">Três propostas entregues na mão de quem decide</t>
  </si>
  <si>
    <t xml:space="preserve">Aba 20 Alvos com três Sim em Proposta na mão</t>
  </si>
  <si>
    <t xml:space="preserve">Toda objeção anotada com as palavras exatas</t>
  </si>
  <si>
    <t xml:space="preserve">Coluna Objeção preenchida</t>
  </si>
  <si>
    <t xml:space="preserve">Dia 3 · Fechar</t>
  </si>
  <si>
    <t xml:space="preserve">Follow-up enviado para as três propostas</t>
  </si>
  <si>
    <t xml:space="preserve">Status Follow-up 48h enviado</t>
  </si>
  <si>
    <t xml:space="preserve">Tudo registrado na aba 20 Alvos</t>
  </si>
  <si>
    <t xml:space="preserve">Nenhuma visita só no papel</t>
  </si>
  <si>
    <t xml:space="preserve">Oportunidades ouvidas anotadas</t>
  </si>
  <si>
    <t xml:space="preserve">Coluna Oportunidade ouvida</t>
  </si>
  <si>
    <t xml:space="preserve">Data da próxima leva de visitas marcada</t>
  </si>
  <si>
    <t xml:space="preserve">Data escrita na agenda</t>
  </si>
  <si>
    <t xml:space="preserve">PLACAR</t>
  </si>
  <si>
    <t xml:space="preserve">Marcos feitos</t>
  </si>
  <si>
    <t xml:space="preserve">Visitas feitas (da aba 20 Alvos)</t>
  </si>
  <si>
    <t xml:space="preserve">Propostas na mão (da aba 20 Alvos)</t>
  </si>
  <si>
    <t xml:space="preserve">A missão</t>
  </si>
  <si>
    <t xml:space="preserve">NÚMERO HONESTO · expectativa, não promessa</t>
  </si>
  <si>
    <t xml:space="preserve">Etapa</t>
  </si>
  <si>
    <t xml:space="preserve">Referência</t>
  </si>
  <si>
    <t xml:space="preserve">Você</t>
  </si>
  <si>
    <t xml:space="preserve">Visitas</t>
  </si>
  <si>
    <t xml:space="preserve">Venda</t>
  </si>
  <si>
    <t xml:space="preserve">A venda depende de quem decide do outro lado do balcão, não de você. A missão é sua: três propostas na mão.</t>
  </si>
  <si>
    <t xml:space="preserve">Dez visitas e zero vendas não quer dizer que não funciona. Quer dizer que faltam visitas: a segunda leva sai com as objeções de verdade anotadas.</t>
  </si>
  <si>
    <t xml:space="preserve">As referências mudam por G-Code: confira o bloco Número honesto da seção 12 do seu manual.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</si>
</sst>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;&quot;-R$ &quot;#,##0.00;\-"/>
    <numFmt numFmtId="166" formatCode="0%"/>
    <numFmt numFmtId="167" formatCode="0"/>
    <numFmt numFmtId="168" formatCode="0.00"/>
    <numFmt numFmtId="169" formatCode="0.0%"/>
    <numFmt numFmtId="170" formatCode="0.0"/>
    <numFmt numFmtId="171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4ADE8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C9D6CE"/>
      <name val="Arial"/>
      <family val="0"/>
      <charset val="1"/>
    </font>
    <font>
      <b val="true"/>
      <sz val="9"/>
      <color rgb="FF1420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2D7A4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A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2514A"/>
      <name val="Arial"/>
      <family val="0"/>
      <charset val="1"/>
    </font>
    <font>
      <sz val="10"/>
      <name val="Arial"/>
      <family val="2"/>
    </font>
    <font>
      <i val="true"/>
      <sz val="9"/>
      <color rgb="FF42514A"/>
      <name val="Arial"/>
      <family val="0"/>
      <charset val="1"/>
    </font>
    <font>
      <b val="true"/>
      <sz val="10"/>
      <color rgb="FF2D7A4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01A"/>
        <bgColor rgb="FF333300"/>
      </patternFill>
    </fill>
    <fill>
      <patternFill patternType="solid">
        <fgColor rgb="FFF6ECDC"/>
        <bgColor rgb="FFE3F0E8"/>
      </patternFill>
    </fill>
    <fill>
      <patternFill patternType="solid">
        <fgColor rgb="FF2D7A4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8CC"/>
      </left>
      <right style="thin">
        <color rgb="FFDDD8CC"/>
      </right>
      <top style="thin">
        <color rgb="FFDDD8CC"/>
      </top>
      <bottom style="thin">
        <color rgb="FFDDD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2B1E"/>
      </font>
      <fill>
        <patternFill>
          <bgColor rgb="FFF6D5D0"/>
        </patternFill>
      </fill>
    </dxf>
    <dxf>
      <font>
        <name val="Arial"/>
        <charset val="1"/>
        <family val="0"/>
        <b val="1"/>
        <color rgb="FF2D7A4F"/>
      </font>
      <fill>
        <patternFill>
          <bgColor rgb="FFE3F0E8"/>
        </patternFill>
      </fill>
    </dxf>
    <dxf>
      <font>
        <name val="Arial"/>
        <charset val="1"/>
        <family val="0"/>
        <color rgb="FF8A5A1E"/>
      </font>
      <fill>
        <patternFill>
          <bgColor rgb="FFF6ECDC"/>
        </patternFill>
      </fill>
    </dxf>
    <dxf>
      <fill>
        <patternFill>
          <bgColor rgb="FFCDEBD8"/>
        </patternFill>
      </fill>
    </dxf>
    <dxf>
      <font>
        <name val="Arial"/>
        <charset val="1"/>
        <family val="0"/>
        <color rgb="FF8A948F"/>
      </font>
    </dxf>
    <dxf>
      <font>
        <name val="Arial"/>
        <charset val="1"/>
        <family val="0"/>
        <b val="1"/>
        <color rgb="FFFFFFFF"/>
      </font>
      <fill>
        <patternFill>
          <bgColor rgb="FF2D7A4F"/>
        </patternFill>
      </fill>
    </dxf>
    <dxf>
      <font>
        <name val="Arial"/>
        <charset val="1"/>
        <family val="0"/>
        <b val="1"/>
        <color rgb="FF14201A"/>
        <sz val="12"/>
      </font>
      <fill>
        <patternFill>
          <bgColor rgb="FF4ADE80"/>
        </patternFill>
      </fill>
    </dxf>
    <dxf>
      <font>
        <name val="Arial"/>
        <charset val="1"/>
        <family val="0"/>
        <b val="1"/>
        <color rgb="FF8A5A1E"/>
        <sz val="12"/>
      </font>
      <fill>
        <patternFill>
          <bgColor rgb="FFF6EC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E"/>
      <rgbColor rgb="FF800080"/>
      <rgbColor rgb="FF008080"/>
      <rgbColor rgb="FFDDD8CC"/>
      <rgbColor rgb="FF6B7A72"/>
      <rgbColor rgb="FF9999FF"/>
      <rgbColor rgb="FF993366"/>
      <rgbColor rgb="FFF6ECDC"/>
      <rgbColor rgb="FFE3F0E8"/>
      <rgbColor rgb="FF660066"/>
      <rgbColor rgb="FFFF8080"/>
      <rgbColor rgb="FF0066CC"/>
      <rgbColor rgb="FFC9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8"/>
      <rgbColor rgb="FFFFFF99"/>
      <rgbColor rgb="FF99CCFF"/>
      <rgbColor rgb="FFFF99CC"/>
      <rgbColor rgb="FFCC99FF"/>
      <rgbColor rgb="FFF6D5D0"/>
      <rgbColor rgb="FF3366FF"/>
      <rgbColor rgb="FF4ADE80"/>
      <rgbColor rgb="FF99CC00"/>
      <rgbColor rgb="FFFFCC00"/>
      <rgbColor rgb="FFFF9900"/>
      <rgbColor rgb="FFFF6600"/>
      <rgbColor rgb="FF666699"/>
      <rgbColor rgb="FF8A948F"/>
      <rgbColor rgb="FF003366"/>
      <rgbColor rgb="FF2D7A4F"/>
      <rgbColor rgb="FF14201A"/>
      <rgbColor rgb="FF333300"/>
      <rgbColor rgb="FF9C2B1E"/>
      <rgbColor rgb="FF993366"/>
      <rgbColor rgb="FF333399"/>
      <rgbColor rgb="FF4251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2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7.7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A5" s="5" t="s">
        <v>3</v>
      </c>
      <c r="B5" s="6" t="s">
        <v>4</v>
      </c>
      <c r="C5" s="7" t="s">
        <v>5</v>
      </c>
      <c r="D5" s="8" t="s">
        <v>6</v>
      </c>
    </row>
    <row r="7" customFormat="false" ht="15" hidden="false" customHeight="false" outlineLevel="0" collapsed="false">
      <c r="A7" s="9" t="s">
        <v>7</v>
      </c>
    </row>
    <row r="8" customFormat="false" ht="15" hidden="false" customHeight="false" outlineLevel="0" collapsed="false">
      <c r="A8" s="10" t="s">
        <v>8</v>
      </c>
      <c r="B8" s="10"/>
      <c r="C8" s="10"/>
      <c r="D8" s="11" t="n">
        <v>120</v>
      </c>
      <c r="E8" s="12" t="s">
        <v>9</v>
      </c>
    </row>
    <row r="9" customFormat="false" ht="15" hidden="false" customHeight="false" outlineLevel="0" collapsed="false">
      <c r="A9" s="10" t="s">
        <v>10</v>
      </c>
      <c r="B9" s="10"/>
      <c r="C9" s="10"/>
      <c r="D9" s="13" t="n">
        <v>0.15</v>
      </c>
      <c r="E9" s="12" t="s">
        <v>11</v>
      </c>
    </row>
    <row r="10" customFormat="false" ht="15" hidden="false" customHeight="false" outlineLevel="0" collapsed="false">
      <c r="A10" s="10" t="s">
        <v>12</v>
      </c>
      <c r="B10" s="10"/>
      <c r="C10" s="10"/>
      <c r="D10" s="14" t="n">
        <v>150</v>
      </c>
      <c r="E10" s="12" t="s">
        <v>13</v>
      </c>
    </row>
    <row r="11" customFormat="false" ht="15" hidden="false" customHeight="false" outlineLevel="0" collapsed="false">
      <c r="A11" s="10" t="s">
        <v>14</v>
      </c>
      <c r="B11" s="10"/>
      <c r="C11" s="10"/>
      <c r="D11" s="11" t="n">
        <v>0.95</v>
      </c>
      <c r="E11" s="12" t="s">
        <v>15</v>
      </c>
    </row>
    <row r="12" customFormat="false" ht="15" hidden="false" customHeight="false" outlineLevel="0" collapsed="false">
      <c r="A12" s="10" t="s">
        <v>16</v>
      </c>
      <c r="B12" s="10"/>
      <c r="C12" s="10"/>
      <c r="D12" s="11" t="n">
        <v>15</v>
      </c>
      <c r="E12" s="12" t="s">
        <v>17</v>
      </c>
    </row>
    <row r="13" customFormat="false" ht="15" hidden="false" customHeight="false" outlineLevel="0" collapsed="false">
      <c r="A13" s="10" t="s">
        <v>18</v>
      </c>
      <c r="B13" s="10"/>
      <c r="C13" s="10"/>
      <c r="D13" s="11" t="n">
        <v>40</v>
      </c>
      <c r="E13" s="12" t="s">
        <v>19</v>
      </c>
    </row>
    <row r="15" customFormat="false" ht="15" hidden="false" customHeight="false" outlineLevel="0" collapsed="false">
      <c r="A15" s="9" t="s">
        <v>20</v>
      </c>
    </row>
    <row r="16" customFormat="false" ht="33.75" hidden="false" customHeight="true" outlineLevel="0" collapsed="false">
      <c r="A16" s="15" t="s">
        <v>21</v>
      </c>
      <c r="B16" s="15" t="s">
        <v>22</v>
      </c>
      <c r="C16" s="15" t="s">
        <v>23</v>
      </c>
      <c r="D16" s="15" t="s">
        <v>24</v>
      </c>
      <c r="E16" s="15" t="s">
        <v>25</v>
      </c>
      <c r="F16" s="15" t="s">
        <v>26</v>
      </c>
      <c r="G16" s="15" t="s">
        <v>27</v>
      </c>
      <c r="H16" s="15" t="s">
        <v>28</v>
      </c>
      <c r="I16" s="15" t="s">
        <v>29</v>
      </c>
      <c r="J16" s="15" t="s">
        <v>30</v>
      </c>
      <c r="K16" s="15" t="s">
        <v>31</v>
      </c>
      <c r="L16" s="15" t="s">
        <v>32</v>
      </c>
      <c r="M16" s="15" t="s">
        <v>33</v>
      </c>
      <c r="N16" s="15" t="s">
        <v>34</v>
      </c>
      <c r="O16" s="15" t="s">
        <v>35</v>
      </c>
      <c r="P16" s="15" t="s">
        <v>36</v>
      </c>
      <c r="Q16" s="15" t="s">
        <v>37</v>
      </c>
    </row>
    <row r="17" customFormat="false" ht="15" hidden="false" customHeight="false" outlineLevel="0" collapsed="false">
      <c r="A17" s="6" t="s">
        <v>38</v>
      </c>
      <c r="B17" s="6" t="s">
        <v>39</v>
      </c>
      <c r="C17" s="14" t="n">
        <v>2</v>
      </c>
      <c r="D17" s="14" t="n">
        <v>50</v>
      </c>
      <c r="E17" s="16" t="n">
        <v>2.5</v>
      </c>
      <c r="F17" s="11" t="n">
        <v>6.8</v>
      </c>
      <c r="G17" s="17" t="n">
        <f aca="false">IF(E17="","",D17/1000*$D$8*(1+$D$9))</f>
        <v>6.9</v>
      </c>
      <c r="H17" s="17" t="n">
        <f aca="false">IF(E17="","",E17*$D$10/1000*$D$11)</f>
        <v>0.35625</v>
      </c>
      <c r="I17" s="18" t="n">
        <f aca="false">IF(E17="","",G17+H17+F17)</f>
        <v>14.05625</v>
      </c>
      <c r="J17" s="17" t="n">
        <f aca="false">IF(E17="","",I17+E17*$D$12)</f>
        <v>51.55625</v>
      </c>
      <c r="K17" s="17" t="n">
        <f aca="false">IF(E17="","",I17+E17*$D$13)</f>
        <v>114.05625</v>
      </c>
      <c r="L17" s="11" t="n">
        <v>90</v>
      </c>
      <c r="M17" s="17" t="n">
        <f aca="false">IF(OR(E17="",L17=""),"",L17-I17)</f>
        <v>75.94375</v>
      </c>
      <c r="N17" s="19" t="n">
        <f aca="false">IF(OR(E17="",L17="",L17=0),"",M17/L17)</f>
        <v>0.843819444444444</v>
      </c>
      <c r="O17" s="18" t="n">
        <f aca="false">IF(OR(E17="",L17="",E17=0),"",M17/E17)</f>
        <v>30.3775</v>
      </c>
      <c r="P17" s="17" t="n">
        <f aca="false">IF(OR(L17="",C17="",C17=0),"",L17/C17)</f>
        <v>45</v>
      </c>
      <c r="Q17" s="10" t="str">
        <f aca="false">IF(OR(E17="",L17=""),"",IF(O17&lt;$D$12,"ABAIXO DO PISO: não feche",IF(O17&lt;$D$13,"Acima do piso, abaixo da meta","Na meta")))</f>
        <v>Acima do piso, abaixo da meta</v>
      </c>
    </row>
    <row r="18" customFormat="false" ht="15" hidden="false" customHeight="false" outlineLevel="0" collapsed="false">
      <c r="A18" s="6"/>
      <c r="B18" s="6"/>
      <c r="C18" s="14"/>
      <c r="D18" s="14"/>
      <c r="E18" s="16"/>
      <c r="F18" s="11"/>
      <c r="G18" s="17" t="str">
        <f aca="false">IF(E18="","",D18/1000*$D$8*(1+$D$9))</f>
        <v/>
      </c>
      <c r="H18" s="17" t="str">
        <f aca="false">IF(E18="","",E18*$D$10/1000*$D$11)</f>
        <v/>
      </c>
      <c r="I18" s="18" t="str">
        <f aca="false">IF(E18="","",G18+H18+F18)</f>
        <v/>
      </c>
      <c r="J18" s="17" t="str">
        <f aca="false">IF(E18="","",I18+E18*$D$12)</f>
        <v/>
      </c>
      <c r="K18" s="17" t="str">
        <f aca="false">IF(E18="","",I18+E18*$D$13)</f>
        <v/>
      </c>
      <c r="L18" s="11"/>
      <c r="M18" s="17" t="str">
        <f aca="false">IF(OR(E18="",L18=""),"",L18-I18)</f>
        <v/>
      </c>
      <c r="N18" s="19" t="str">
        <f aca="false">IF(OR(E18="",L18="",L18=0),"",M18/L18)</f>
        <v/>
      </c>
      <c r="O18" s="18" t="str">
        <f aca="false">IF(OR(E18="",L18="",E18=0),"",M18/E18)</f>
        <v/>
      </c>
      <c r="P18" s="17" t="str">
        <f aca="false">IF(OR(L18="",C18="",C18=0),"",L18/C18)</f>
        <v/>
      </c>
      <c r="Q18" s="10" t="str">
        <f aca="false">IF(OR(E18="",L18=""),"",IF(O18&lt;$D$12,"ABAIXO DO PISO: não feche",IF(O18&lt;$D$13,"Acima do piso, abaixo da meta","Na meta")))</f>
        <v/>
      </c>
    </row>
    <row r="19" customFormat="false" ht="15" hidden="false" customHeight="false" outlineLevel="0" collapsed="false">
      <c r="A19" s="6"/>
      <c r="B19" s="6"/>
      <c r="C19" s="14"/>
      <c r="D19" s="14"/>
      <c r="E19" s="16"/>
      <c r="F19" s="11"/>
      <c r="G19" s="17" t="str">
        <f aca="false">IF(E19="","",D19/1000*$D$8*(1+$D$9))</f>
        <v/>
      </c>
      <c r="H19" s="17" t="str">
        <f aca="false">IF(E19="","",E19*$D$10/1000*$D$11)</f>
        <v/>
      </c>
      <c r="I19" s="18" t="str">
        <f aca="false">IF(E19="","",G19+H19+F19)</f>
        <v/>
      </c>
      <c r="J19" s="17" t="str">
        <f aca="false">IF(E19="","",I19+E19*$D$12)</f>
        <v/>
      </c>
      <c r="K19" s="17" t="str">
        <f aca="false">IF(E19="","",I19+E19*$D$13)</f>
        <v/>
      </c>
      <c r="L19" s="11"/>
      <c r="M19" s="17" t="str">
        <f aca="false">IF(OR(E19="",L19=""),"",L19-I19)</f>
        <v/>
      </c>
      <c r="N19" s="19" t="str">
        <f aca="false">IF(OR(E19="",L19="",L19=0),"",M19/L19)</f>
        <v/>
      </c>
      <c r="O19" s="18" t="str">
        <f aca="false">IF(OR(E19="",L19="",E19=0),"",M19/E19)</f>
        <v/>
      </c>
      <c r="P19" s="17" t="str">
        <f aca="false">IF(OR(L19="",C19="",C19=0),"",L19/C19)</f>
        <v/>
      </c>
      <c r="Q19" s="10" t="str">
        <f aca="false">IF(OR(E19="",L19=""),"",IF(O19&lt;$D$12,"ABAIXO DO PISO: não feche",IF(O19&lt;$D$13,"Acima do piso, abaixo da meta","Na meta")))</f>
        <v/>
      </c>
    </row>
    <row r="20" customFormat="false" ht="15" hidden="false" customHeight="false" outlineLevel="0" collapsed="false">
      <c r="A20" s="6"/>
      <c r="B20" s="6"/>
      <c r="C20" s="14"/>
      <c r="D20" s="14"/>
      <c r="E20" s="16"/>
      <c r="F20" s="11"/>
      <c r="G20" s="17" t="str">
        <f aca="false">IF(E20="","",D20/1000*$D$8*(1+$D$9))</f>
        <v/>
      </c>
      <c r="H20" s="17" t="str">
        <f aca="false">IF(E20="","",E20*$D$10/1000*$D$11)</f>
        <v/>
      </c>
      <c r="I20" s="18" t="str">
        <f aca="false">IF(E20="","",G20+H20+F20)</f>
        <v/>
      </c>
      <c r="J20" s="17" t="str">
        <f aca="false">IF(E20="","",I20+E20*$D$12)</f>
        <v/>
      </c>
      <c r="K20" s="17" t="str">
        <f aca="false">IF(E20="","",I20+E20*$D$13)</f>
        <v/>
      </c>
      <c r="L20" s="11"/>
      <c r="M20" s="17" t="str">
        <f aca="false">IF(OR(E20="",L20=""),"",L20-I20)</f>
        <v/>
      </c>
      <c r="N20" s="19" t="str">
        <f aca="false">IF(OR(E20="",L20="",L20=0),"",M20/L20)</f>
        <v/>
      </c>
      <c r="O20" s="18" t="str">
        <f aca="false">IF(OR(E20="",L20="",E20=0),"",M20/E20)</f>
        <v/>
      </c>
      <c r="P20" s="17" t="str">
        <f aca="false">IF(OR(L20="",C20="",C20=0),"",L20/C20)</f>
        <v/>
      </c>
      <c r="Q20" s="10" t="str">
        <f aca="false">IF(OR(E20="",L20=""),"",IF(O20&lt;$D$12,"ABAIXO DO PISO: não feche",IF(O20&lt;$D$13,"Acima do piso, abaixo da meta","Na meta")))</f>
        <v/>
      </c>
    </row>
    <row r="21" customFormat="false" ht="15" hidden="false" customHeight="false" outlineLevel="0" collapsed="false">
      <c r="A21" s="6"/>
      <c r="B21" s="6"/>
      <c r="C21" s="14"/>
      <c r="D21" s="14"/>
      <c r="E21" s="16"/>
      <c r="F21" s="11"/>
      <c r="G21" s="17" t="str">
        <f aca="false">IF(E21="","",D21/1000*$D$8*(1+$D$9))</f>
        <v/>
      </c>
      <c r="H21" s="17" t="str">
        <f aca="false">IF(E21="","",E21*$D$10/1000*$D$11)</f>
        <v/>
      </c>
      <c r="I21" s="18" t="str">
        <f aca="false">IF(E21="","",G21+H21+F21)</f>
        <v/>
      </c>
      <c r="J21" s="17" t="str">
        <f aca="false">IF(E21="","",I21+E21*$D$12)</f>
        <v/>
      </c>
      <c r="K21" s="17" t="str">
        <f aca="false">IF(E21="","",I21+E21*$D$13)</f>
        <v/>
      </c>
      <c r="L21" s="11"/>
      <c r="M21" s="17" t="str">
        <f aca="false">IF(OR(E21="",L21=""),"",L21-I21)</f>
        <v/>
      </c>
      <c r="N21" s="19" t="str">
        <f aca="false">IF(OR(E21="",L21="",L21=0),"",M21/L21)</f>
        <v/>
      </c>
      <c r="O21" s="18" t="str">
        <f aca="false">IF(OR(E21="",L21="",E21=0),"",M21/E21)</f>
        <v/>
      </c>
      <c r="P21" s="17" t="str">
        <f aca="false">IF(OR(L21="",C21="",C21=0),"",L21/C21)</f>
        <v/>
      </c>
      <c r="Q21" s="10" t="str">
        <f aca="false">IF(OR(E21="",L21=""),"",IF(O21&lt;$D$12,"ABAIXO DO PISO: não feche",IF(O21&lt;$D$13,"Acima do piso, abaixo da meta","Na meta")))</f>
        <v/>
      </c>
    </row>
    <row r="22" customFormat="false" ht="15" hidden="false" customHeight="false" outlineLevel="0" collapsed="false">
      <c r="A22" s="6"/>
      <c r="B22" s="6"/>
      <c r="C22" s="14"/>
      <c r="D22" s="14"/>
      <c r="E22" s="16"/>
      <c r="F22" s="11"/>
      <c r="G22" s="17" t="str">
        <f aca="false">IF(E22="","",D22/1000*$D$8*(1+$D$9))</f>
        <v/>
      </c>
      <c r="H22" s="17" t="str">
        <f aca="false">IF(E22="","",E22*$D$10/1000*$D$11)</f>
        <v/>
      </c>
      <c r="I22" s="18" t="str">
        <f aca="false">IF(E22="","",G22+H22+F22)</f>
        <v/>
      </c>
      <c r="J22" s="17" t="str">
        <f aca="false">IF(E22="","",I22+E22*$D$12)</f>
        <v/>
      </c>
      <c r="K22" s="17" t="str">
        <f aca="false">IF(E22="","",I22+E22*$D$13)</f>
        <v/>
      </c>
      <c r="L22" s="11"/>
      <c r="M22" s="17" t="str">
        <f aca="false">IF(OR(E22="",L22=""),"",L22-I22)</f>
        <v/>
      </c>
      <c r="N22" s="19" t="str">
        <f aca="false">IF(OR(E22="",L22="",L22=0),"",M22/L22)</f>
        <v/>
      </c>
      <c r="O22" s="18" t="str">
        <f aca="false">IF(OR(E22="",L22="",E22=0),"",M22/E22)</f>
        <v/>
      </c>
      <c r="P22" s="17" t="str">
        <f aca="false">IF(OR(L22="",C22="",C22=0),"",L22/C22)</f>
        <v/>
      </c>
      <c r="Q22" s="10" t="str">
        <f aca="false">IF(OR(E22="",L22=""),"",IF(O22&lt;$D$12,"ABAIXO DO PISO: não feche",IF(O22&lt;$D$13,"Acima do piso, abaixo da meta","Na meta")))</f>
        <v/>
      </c>
    </row>
    <row r="23" customFormat="false" ht="15" hidden="false" customHeight="false" outlineLevel="0" collapsed="false">
      <c r="A23" s="6"/>
      <c r="B23" s="6"/>
      <c r="C23" s="14"/>
      <c r="D23" s="14"/>
      <c r="E23" s="16"/>
      <c r="F23" s="11"/>
      <c r="G23" s="17" t="str">
        <f aca="false">IF(E23="","",D23/1000*$D$8*(1+$D$9))</f>
        <v/>
      </c>
      <c r="H23" s="17" t="str">
        <f aca="false">IF(E23="","",E23*$D$10/1000*$D$11)</f>
        <v/>
      </c>
      <c r="I23" s="18" t="str">
        <f aca="false">IF(E23="","",G23+H23+F23)</f>
        <v/>
      </c>
      <c r="J23" s="17" t="str">
        <f aca="false">IF(E23="","",I23+E23*$D$12)</f>
        <v/>
      </c>
      <c r="K23" s="17" t="str">
        <f aca="false">IF(E23="","",I23+E23*$D$13)</f>
        <v/>
      </c>
      <c r="L23" s="11"/>
      <c r="M23" s="17" t="str">
        <f aca="false">IF(OR(E23="",L23=""),"",L23-I23)</f>
        <v/>
      </c>
      <c r="N23" s="19" t="str">
        <f aca="false">IF(OR(E23="",L23="",L23=0),"",M23/L23)</f>
        <v/>
      </c>
      <c r="O23" s="18" t="str">
        <f aca="false">IF(OR(E23="",L23="",E23=0),"",M23/E23)</f>
        <v/>
      </c>
      <c r="P23" s="17" t="str">
        <f aca="false">IF(OR(L23="",C23="",C23=0),"",L23/C23)</f>
        <v/>
      </c>
      <c r="Q23" s="10" t="str">
        <f aca="false">IF(OR(E23="",L23=""),"",IF(O23&lt;$D$12,"ABAIXO DO PISO: não feche",IF(O23&lt;$D$13,"Acima do piso, abaixo da meta","Na meta")))</f>
        <v/>
      </c>
    </row>
    <row r="24" customFormat="false" ht="15" hidden="false" customHeight="false" outlineLevel="0" collapsed="false">
      <c r="A24" s="6"/>
      <c r="B24" s="6"/>
      <c r="C24" s="14"/>
      <c r="D24" s="14"/>
      <c r="E24" s="16"/>
      <c r="F24" s="11"/>
      <c r="G24" s="17" t="str">
        <f aca="false">IF(E24="","",D24/1000*$D$8*(1+$D$9))</f>
        <v/>
      </c>
      <c r="H24" s="17" t="str">
        <f aca="false">IF(E24="","",E24*$D$10/1000*$D$11)</f>
        <v/>
      </c>
      <c r="I24" s="18" t="str">
        <f aca="false">IF(E24="","",G24+H24+F24)</f>
        <v/>
      </c>
      <c r="J24" s="17" t="str">
        <f aca="false">IF(E24="","",I24+E24*$D$12)</f>
        <v/>
      </c>
      <c r="K24" s="17" t="str">
        <f aca="false">IF(E24="","",I24+E24*$D$13)</f>
        <v/>
      </c>
      <c r="L24" s="11"/>
      <c r="M24" s="17" t="str">
        <f aca="false">IF(OR(E24="",L24=""),"",L24-I24)</f>
        <v/>
      </c>
      <c r="N24" s="19" t="str">
        <f aca="false">IF(OR(E24="",L24="",L24=0),"",M24/L24)</f>
        <v/>
      </c>
      <c r="O24" s="18" t="str">
        <f aca="false">IF(OR(E24="",L24="",E24=0),"",M24/E24)</f>
        <v/>
      </c>
      <c r="P24" s="17" t="str">
        <f aca="false">IF(OR(L24="",C24="",C24=0),"",L24/C24)</f>
        <v/>
      </c>
      <c r="Q24" s="10" t="str">
        <f aca="false">IF(OR(E24="",L24=""),"",IF(O24&lt;$D$12,"ABAIXO DO PISO: não feche",IF(O24&lt;$D$13,"Acima do piso, abaixo da meta","Na meta")))</f>
        <v/>
      </c>
    </row>
    <row r="25" customFormat="false" ht="15" hidden="false" customHeight="false" outlineLevel="0" collapsed="false">
      <c r="A25" s="6"/>
      <c r="B25" s="6"/>
      <c r="C25" s="14"/>
      <c r="D25" s="14"/>
      <c r="E25" s="16"/>
      <c r="F25" s="11"/>
      <c r="G25" s="17" t="str">
        <f aca="false">IF(E25="","",D25/1000*$D$8*(1+$D$9))</f>
        <v/>
      </c>
      <c r="H25" s="17" t="str">
        <f aca="false">IF(E25="","",E25*$D$10/1000*$D$11)</f>
        <v/>
      </c>
      <c r="I25" s="18" t="str">
        <f aca="false">IF(E25="","",G25+H25+F25)</f>
        <v/>
      </c>
      <c r="J25" s="17" t="str">
        <f aca="false">IF(E25="","",I25+E25*$D$12)</f>
        <v/>
      </c>
      <c r="K25" s="17" t="str">
        <f aca="false">IF(E25="","",I25+E25*$D$13)</f>
        <v/>
      </c>
      <c r="L25" s="11"/>
      <c r="M25" s="17" t="str">
        <f aca="false">IF(OR(E25="",L25=""),"",L25-I25)</f>
        <v/>
      </c>
      <c r="N25" s="19" t="str">
        <f aca="false">IF(OR(E25="",L25="",L25=0),"",M25/L25)</f>
        <v/>
      </c>
      <c r="O25" s="18" t="str">
        <f aca="false">IF(OR(E25="",L25="",E25=0),"",M25/E25)</f>
        <v/>
      </c>
      <c r="P25" s="17" t="str">
        <f aca="false">IF(OR(L25="",C25="",C25=0),"",L25/C25)</f>
        <v/>
      </c>
      <c r="Q25" s="10" t="str">
        <f aca="false">IF(OR(E25="",L25=""),"",IF(O25&lt;$D$12,"ABAIXO DO PISO: não feche",IF(O25&lt;$D$13,"Acima do piso, abaixo da meta","Na meta")))</f>
        <v/>
      </c>
    </row>
    <row r="26" customFormat="false" ht="15" hidden="false" customHeight="false" outlineLevel="0" collapsed="false">
      <c r="A26" s="6"/>
      <c r="B26" s="6"/>
      <c r="C26" s="14"/>
      <c r="D26" s="14"/>
      <c r="E26" s="16"/>
      <c r="F26" s="11"/>
      <c r="G26" s="17" t="str">
        <f aca="false">IF(E26="","",D26/1000*$D$8*(1+$D$9))</f>
        <v/>
      </c>
      <c r="H26" s="17" t="str">
        <f aca="false">IF(E26="","",E26*$D$10/1000*$D$11)</f>
        <v/>
      </c>
      <c r="I26" s="18" t="str">
        <f aca="false">IF(E26="","",G26+H26+F26)</f>
        <v/>
      </c>
      <c r="J26" s="17" t="str">
        <f aca="false">IF(E26="","",I26+E26*$D$12)</f>
        <v/>
      </c>
      <c r="K26" s="17" t="str">
        <f aca="false">IF(E26="","",I26+E26*$D$13)</f>
        <v/>
      </c>
      <c r="L26" s="11"/>
      <c r="M26" s="17" t="str">
        <f aca="false">IF(OR(E26="",L26=""),"",L26-I26)</f>
        <v/>
      </c>
      <c r="N26" s="19" t="str">
        <f aca="false">IF(OR(E26="",L26="",L26=0),"",M26/L26)</f>
        <v/>
      </c>
      <c r="O26" s="18" t="str">
        <f aca="false">IF(OR(E26="",L26="",E26=0),"",M26/E26)</f>
        <v/>
      </c>
      <c r="P26" s="17" t="str">
        <f aca="false">IF(OR(L26="",C26="",C26=0),"",L26/C26)</f>
        <v/>
      </c>
      <c r="Q26" s="10" t="str">
        <f aca="false">IF(OR(E26="",L26=""),"",IF(O26&lt;$D$12,"ABAIXO DO PISO: não feche",IF(O26&lt;$D$13,"Acima do piso, abaixo da meta","Na meta")))</f>
        <v/>
      </c>
    </row>
    <row r="27" customFormat="false" ht="15" hidden="false" customHeight="false" outlineLevel="0" collapsed="false">
      <c r="A27" s="6"/>
      <c r="B27" s="6"/>
      <c r="C27" s="14"/>
      <c r="D27" s="14"/>
      <c r="E27" s="16"/>
      <c r="F27" s="11"/>
      <c r="G27" s="17" t="str">
        <f aca="false">IF(E27="","",D27/1000*$D$8*(1+$D$9))</f>
        <v/>
      </c>
      <c r="H27" s="17" t="str">
        <f aca="false">IF(E27="","",E27*$D$10/1000*$D$11)</f>
        <v/>
      </c>
      <c r="I27" s="18" t="str">
        <f aca="false">IF(E27="","",G27+H27+F27)</f>
        <v/>
      </c>
      <c r="J27" s="17" t="str">
        <f aca="false">IF(E27="","",I27+E27*$D$12)</f>
        <v/>
      </c>
      <c r="K27" s="17" t="str">
        <f aca="false">IF(E27="","",I27+E27*$D$13)</f>
        <v/>
      </c>
      <c r="L27" s="11"/>
      <c r="M27" s="17" t="str">
        <f aca="false">IF(OR(E27="",L27=""),"",L27-I27)</f>
        <v/>
      </c>
      <c r="N27" s="19" t="str">
        <f aca="false">IF(OR(E27="",L27="",L27=0),"",M27/L27)</f>
        <v/>
      </c>
      <c r="O27" s="18" t="str">
        <f aca="false">IF(OR(E27="",L27="",E27=0),"",M27/E27)</f>
        <v/>
      </c>
      <c r="P27" s="17" t="str">
        <f aca="false">IF(OR(L27="",C27="",C27=0),"",L27/C27)</f>
        <v/>
      </c>
      <c r="Q27" s="10" t="str">
        <f aca="false">IF(OR(E27="",L27=""),"",IF(O27&lt;$D$12,"ABAIXO DO PISO: não feche",IF(O27&lt;$D$13,"Acima do piso, abaixo da meta","Na meta")))</f>
        <v/>
      </c>
    </row>
    <row r="28" customFormat="false" ht="15" hidden="false" customHeight="false" outlineLevel="0" collapsed="false">
      <c r="A28" s="6"/>
      <c r="B28" s="6"/>
      <c r="C28" s="14"/>
      <c r="D28" s="14"/>
      <c r="E28" s="16"/>
      <c r="F28" s="11"/>
      <c r="G28" s="17" t="str">
        <f aca="false">IF(E28="","",D28/1000*$D$8*(1+$D$9))</f>
        <v/>
      </c>
      <c r="H28" s="17" t="str">
        <f aca="false">IF(E28="","",E28*$D$10/1000*$D$11)</f>
        <v/>
      </c>
      <c r="I28" s="18" t="str">
        <f aca="false">IF(E28="","",G28+H28+F28)</f>
        <v/>
      </c>
      <c r="J28" s="17" t="str">
        <f aca="false">IF(E28="","",I28+E28*$D$12)</f>
        <v/>
      </c>
      <c r="K28" s="17" t="str">
        <f aca="false">IF(E28="","",I28+E28*$D$13)</f>
        <v/>
      </c>
      <c r="L28" s="11"/>
      <c r="M28" s="17" t="str">
        <f aca="false">IF(OR(E28="",L28=""),"",L28-I28)</f>
        <v/>
      </c>
      <c r="N28" s="19" t="str">
        <f aca="false">IF(OR(E28="",L28="",L28=0),"",M28/L28)</f>
        <v/>
      </c>
      <c r="O28" s="18" t="str">
        <f aca="false">IF(OR(E28="",L28="",E28=0),"",M28/E28)</f>
        <v/>
      </c>
      <c r="P28" s="17" t="str">
        <f aca="false">IF(OR(L28="",C28="",C28=0),"",L28/C28)</f>
        <v/>
      </c>
      <c r="Q28" s="10" t="str">
        <f aca="false">IF(OR(E28="",L28=""),"",IF(O28&lt;$D$12,"ABAIXO DO PISO: não feche",IF(O28&lt;$D$13,"Acima do piso, abaixo da meta","Na meta")))</f>
        <v/>
      </c>
    </row>
    <row r="29" customFormat="false" ht="15" hidden="false" customHeight="false" outlineLevel="0" collapsed="false">
      <c r="A29" s="6"/>
      <c r="B29" s="6"/>
      <c r="C29" s="14"/>
      <c r="D29" s="14"/>
      <c r="E29" s="16"/>
      <c r="F29" s="11"/>
      <c r="G29" s="17" t="str">
        <f aca="false">IF(E29="","",D29/1000*$D$8*(1+$D$9))</f>
        <v/>
      </c>
      <c r="H29" s="17" t="str">
        <f aca="false">IF(E29="","",E29*$D$10/1000*$D$11)</f>
        <v/>
      </c>
      <c r="I29" s="18" t="str">
        <f aca="false">IF(E29="","",G29+H29+F29)</f>
        <v/>
      </c>
      <c r="J29" s="17" t="str">
        <f aca="false">IF(E29="","",I29+E29*$D$12)</f>
        <v/>
      </c>
      <c r="K29" s="17" t="str">
        <f aca="false">IF(E29="","",I29+E29*$D$13)</f>
        <v/>
      </c>
      <c r="L29" s="11"/>
      <c r="M29" s="17" t="str">
        <f aca="false">IF(OR(E29="",L29=""),"",L29-I29)</f>
        <v/>
      </c>
      <c r="N29" s="19" t="str">
        <f aca="false">IF(OR(E29="",L29="",L29=0),"",M29/L29)</f>
        <v/>
      </c>
      <c r="O29" s="18" t="str">
        <f aca="false">IF(OR(E29="",L29="",E29=0),"",M29/E29)</f>
        <v/>
      </c>
      <c r="P29" s="17" t="str">
        <f aca="false">IF(OR(L29="",C29="",C29=0),"",L29/C29)</f>
        <v/>
      </c>
      <c r="Q29" s="10" t="str">
        <f aca="false">IF(OR(E29="",L29=""),"",IF(O29&lt;$D$12,"ABAIXO DO PISO: não feche",IF(O29&lt;$D$13,"Acima do piso, abaixo da meta","Na meta")))</f>
        <v/>
      </c>
    </row>
    <row r="30" customFormat="false" ht="15" hidden="false" customHeight="false" outlineLevel="0" collapsed="false">
      <c r="A30" s="6"/>
      <c r="B30" s="6"/>
      <c r="C30" s="14"/>
      <c r="D30" s="14"/>
      <c r="E30" s="16"/>
      <c r="F30" s="11"/>
      <c r="G30" s="17" t="str">
        <f aca="false">IF(E30="","",D30/1000*$D$8*(1+$D$9))</f>
        <v/>
      </c>
      <c r="H30" s="17" t="str">
        <f aca="false">IF(E30="","",E30*$D$10/1000*$D$11)</f>
        <v/>
      </c>
      <c r="I30" s="18" t="str">
        <f aca="false">IF(E30="","",G30+H30+F30)</f>
        <v/>
      </c>
      <c r="J30" s="17" t="str">
        <f aca="false">IF(E30="","",I30+E30*$D$12)</f>
        <v/>
      </c>
      <c r="K30" s="17" t="str">
        <f aca="false">IF(E30="","",I30+E30*$D$13)</f>
        <v/>
      </c>
      <c r="L30" s="11"/>
      <c r="M30" s="17" t="str">
        <f aca="false">IF(OR(E30="",L30=""),"",L30-I30)</f>
        <v/>
      </c>
      <c r="N30" s="19" t="str">
        <f aca="false">IF(OR(E30="",L30="",L30=0),"",M30/L30)</f>
        <v/>
      </c>
      <c r="O30" s="18" t="str">
        <f aca="false">IF(OR(E30="",L30="",E30=0),"",M30/E30)</f>
        <v/>
      </c>
      <c r="P30" s="17" t="str">
        <f aca="false">IF(OR(L30="",C30="",C30=0),"",L30/C30)</f>
        <v/>
      </c>
      <c r="Q30" s="10" t="str">
        <f aca="false">IF(OR(E30="",L30=""),"",IF(O30&lt;$D$12,"ABAIXO DO PISO: não feche",IF(O30&lt;$D$13,"Acima do piso, abaixo da meta","Na meta")))</f>
        <v/>
      </c>
    </row>
    <row r="31" customFormat="false" ht="15" hidden="false" customHeight="false" outlineLevel="0" collapsed="false">
      <c r="A31" s="6"/>
      <c r="B31" s="6"/>
      <c r="C31" s="14"/>
      <c r="D31" s="14"/>
      <c r="E31" s="16"/>
      <c r="F31" s="11"/>
      <c r="G31" s="17" t="str">
        <f aca="false">IF(E31="","",D31/1000*$D$8*(1+$D$9))</f>
        <v/>
      </c>
      <c r="H31" s="17" t="str">
        <f aca="false">IF(E31="","",E31*$D$10/1000*$D$11)</f>
        <v/>
      </c>
      <c r="I31" s="18" t="str">
        <f aca="false">IF(E31="","",G31+H31+F31)</f>
        <v/>
      </c>
      <c r="J31" s="17" t="str">
        <f aca="false">IF(E31="","",I31+E31*$D$12)</f>
        <v/>
      </c>
      <c r="K31" s="17" t="str">
        <f aca="false">IF(E31="","",I31+E31*$D$13)</f>
        <v/>
      </c>
      <c r="L31" s="11"/>
      <c r="M31" s="17" t="str">
        <f aca="false">IF(OR(E31="",L31=""),"",L31-I31)</f>
        <v/>
      </c>
      <c r="N31" s="19" t="str">
        <f aca="false">IF(OR(E31="",L31="",L31=0),"",M31/L31)</f>
        <v/>
      </c>
      <c r="O31" s="18" t="str">
        <f aca="false">IF(OR(E31="",L31="",E31=0),"",M31/E31)</f>
        <v/>
      </c>
      <c r="P31" s="17" t="str">
        <f aca="false">IF(OR(L31="",C31="",C31=0),"",L31/C31)</f>
        <v/>
      </c>
      <c r="Q31" s="10" t="str">
        <f aca="false">IF(OR(E31="",L31=""),"",IF(O31&lt;$D$12,"ABAIXO DO PISO: não feche",IF(O31&lt;$D$13,"Acima do piso, abaixo da meta","Na meta")))</f>
        <v/>
      </c>
    </row>
    <row r="32" customFormat="false" ht="15" hidden="false" customHeight="false" outlineLevel="0" collapsed="false">
      <c r="A32" s="6"/>
      <c r="B32" s="6"/>
      <c r="C32" s="14"/>
      <c r="D32" s="14"/>
      <c r="E32" s="16"/>
      <c r="F32" s="11"/>
      <c r="G32" s="17" t="str">
        <f aca="false">IF(E32="","",D32/1000*$D$8*(1+$D$9))</f>
        <v/>
      </c>
      <c r="H32" s="17" t="str">
        <f aca="false">IF(E32="","",E32*$D$10/1000*$D$11)</f>
        <v/>
      </c>
      <c r="I32" s="18" t="str">
        <f aca="false">IF(E32="","",G32+H32+F32)</f>
        <v/>
      </c>
      <c r="J32" s="17" t="str">
        <f aca="false">IF(E32="","",I32+E32*$D$12)</f>
        <v/>
      </c>
      <c r="K32" s="17" t="str">
        <f aca="false">IF(E32="","",I32+E32*$D$13)</f>
        <v/>
      </c>
      <c r="L32" s="11"/>
      <c r="M32" s="17" t="str">
        <f aca="false">IF(OR(E32="",L32=""),"",L32-I32)</f>
        <v/>
      </c>
      <c r="N32" s="19" t="str">
        <f aca="false">IF(OR(E32="",L32="",L32=0),"",M32/L32)</f>
        <v/>
      </c>
      <c r="O32" s="18" t="str">
        <f aca="false">IF(OR(E32="",L32="",E32=0),"",M32/E32)</f>
        <v/>
      </c>
      <c r="P32" s="17" t="str">
        <f aca="false">IF(OR(L32="",C32="",C32=0),"",L32/C32)</f>
        <v/>
      </c>
      <c r="Q32" s="10" t="str">
        <f aca="false">IF(OR(E32="",L32=""),"",IF(O32&lt;$D$12,"ABAIXO DO PISO: não feche",IF(O32&lt;$D$13,"Acima do piso, abaixo da meta","Na meta")))</f>
        <v/>
      </c>
    </row>
    <row r="33" customFormat="false" ht="15" hidden="false" customHeight="false" outlineLevel="0" collapsed="false">
      <c r="A33" s="6"/>
      <c r="B33" s="6"/>
      <c r="C33" s="14"/>
      <c r="D33" s="14"/>
      <c r="E33" s="16"/>
      <c r="F33" s="11"/>
      <c r="G33" s="17" t="str">
        <f aca="false">IF(E33="","",D33/1000*$D$8*(1+$D$9))</f>
        <v/>
      </c>
      <c r="H33" s="17" t="str">
        <f aca="false">IF(E33="","",E33*$D$10/1000*$D$11)</f>
        <v/>
      </c>
      <c r="I33" s="18" t="str">
        <f aca="false">IF(E33="","",G33+H33+F33)</f>
        <v/>
      </c>
      <c r="J33" s="17" t="str">
        <f aca="false">IF(E33="","",I33+E33*$D$12)</f>
        <v/>
      </c>
      <c r="K33" s="17" t="str">
        <f aca="false">IF(E33="","",I33+E33*$D$13)</f>
        <v/>
      </c>
      <c r="L33" s="11"/>
      <c r="M33" s="17" t="str">
        <f aca="false">IF(OR(E33="",L33=""),"",L33-I33)</f>
        <v/>
      </c>
      <c r="N33" s="19" t="str">
        <f aca="false">IF(OR(E33="",L33="",L33=0),"",M33/L33)</f>
        <v/>
      </c>
      <c r="O33" s="18" t="str">
        <f aca="false">IF(OR(E33="",L33="",E33=0),"",M33/E33)</f>
        <v/>
      </c>
      <c r="P33" s="17" t="str">
        <f aca="false">IF(OR(L33="",C33="",C33=0),"",L33/C33)</f>
        <v/>
      </c>
      <c r="Q33" s="10" t="str">
        <f aca="false">IF(OR(E33="",L33=""),"",IF(O33&lt;$D$12,"ABAIXO DO PISO: não feche",IF(O33&lt;$D$13,"Acima do piso, abaixo da meta","Na meta")))</f>
        <v/>
      </c>
    </row>
    <row r="34" customFormat="false" ht="15" hidden="false" customHeight="false" outlineLevel="0" collapsed="false">
      <c r="A34" s="6"/>
      <c r="B34" s="6"/>
      <c r="C34" s="14"/>
      <c r="D34" s="14"/>
      <c r="E34" s="16"/>
      <c r="F34" s="11"/>
      <c r="G34" s="17" t="str">
        <f aca="false">IF(E34="","",D34/1000*$D$8*(1+$D$9))</f>
        <v/>
      </c>
      <c r="H34" s="17" t="str">
        <f aca="false">IF(E34="","",E34*$D$10/1000*$D$11)</f>
        <v/>
      </c>
      <c r="I34" s="18" t="str">
        <f aca="false">IF(E34="","",G34+H34+F34)</f>
        <v/>
      </c>
      <c r="J34" s="17" t="str">
        <f aca="false">IF(E34="","",I34+E34*$D$12)</f>
        <v/>
      </c>
      <c r="K34" s="17" t="str">
        <f aca="false">IF(E34="","",I34+E34*$D$13)</f>
        <v/>
      </c>
      <c r="L34" s="11"/>
      <c r="M34" s="17" t="str">
        <f aca="false">IF(OR(E34="",L34=""),"",L34-I34)</f>
        <v/>
      </c>
      <c r="N34" s="19" t="str">
        <f aca="false">IF(OR(E34="",L34="",L34=0),"",M34/L34)</f>
        <v/>
      </c>
      <c r="O34" s="18" t="str">
        <f aca="false">IF(OR(E34="",L34="",E34=0),"",M34/E34)</f>
        <v/>
      </c>
      <c r="P34" s="17" t="str">
        <f aca="false">IF(OR(L34="",C34="",C34=0),"",L34/C34)</f>
        <v/>
      </c>
      <c r="Q34" s="10" t="str">
        <f aca="false">IF(OR(E34="",L34=""),"",IF(O34&lt;$D$12,"ABAIXO DO PISO: não feche",IF(O34&lt;$D$13,"Acima do piso, abaixo da meta","Na meta")))</f>
        <v/>
      </c>
    </row>
    <row r="35" customFormat="false" ht="15" hidden="false" customHeight="false" outlineLevel="0" collapsed="false">
      <c r="A35" s="6"/>
      <c r="B35" s="6"/>
      <c r="C35" s="14"/>
      <c r="D35" s="14"/>
      <c r="E35" s="16"/>
      <c r="F35" s="11"/>
      <c r="G35" s="17" t="str">
        <f aca="false">IF(E35="","",D35/1000*$D$8*(1+$D$9))</f>
        <v/>
      </c>
      <c r="H35" s="17" t="str">
        <f aca="false">IF(E35="","",E35*$D$10/1000*$D$11)</f>
        <v/>
      </c>
      <c r="I35" s="18" t="str">
        <f aca="false">IF(E35="","",G35+H35+F35)</f>
        <v/>
      </c>
      <c r="J35" s="17" t="str">
        <f aca="false">IF(E35="","",I35+E35*$D$12)</f>
        <v/>
      </c>
      <c r="K35" s="17" t="str">
        <f aca="false">IF(E35="","",I35+E35*$D$13)</f>
        <v/>
      </c>
      <c r="L35" s="11"/>
      <c r="M35" s="17" t="str">
        <f aca="false">IF(OR(E35="",L35=""),"",L35-I35)</f>
        <v/>
      </c>
      <c r="N35" s="19" t="str">
        <f aca="false">IF(OR(E35="",L35="",L35=0),"",M35/L35)</f>
        <v/>
      </c>
      <c r="O35" s="18" t="str">
        <f aca="false">IF(OR(E35="",L35="",E35=0),"",M35/E35)</f>
        <v/>
      </c>
      <c r="P35" s="17" t="str">
        <f aca="false">IF(OR(L35="",C35="",C35=0),"",L35/C35)</f>
        <v/>
      </c>
      <c r="Q35" s="10" t="str">
        <f aca="false">IF(OR(E35="",L35=""),"",IF(O35&lt;$D$12,"ABAIXO DO PISO: não feche",IF(O35&lt;$D$13,"Acima do piso, abaixo da meta","Na meta")))</f>
        <v/>
      </c>
    </row>
    <row r="36" customFormat="false" ht="15" hidden="false" customHeight="false" outlineLevel="0" collapsed="false">
      <c r="A36" s="6"/>
      <c r="B36" s="6"/>
      <c r="C36" s="14"/>
      <c r="D36" s="14"/>
      <c r="E36" s="16"/>
      <c r="F36" s="11"/>
      <c r="G36" s="17" t="str">
        <f aca="false">IF(E36="","",D36/1000*$D$8*(1+$D$9))</f>
        <v/>
      </c>
      <c r="H36" s="17" t="str">
        <f aca="false">IF(E36="","",E36*$D$10/1000*$D$11)</f>
        <v/>
      </c>
      <c r="I36" s="18" t="str">
        <f aca="false">IF(E36="","",G36+H36+F36)</f>
        <v/>
      </c>
      <c r="J36" s="17" t="str">
        <f aca="false">IF(E36="","",I36+E36*$D$12)</f>
        <v/>
      </c>
      <c r="K36" s="17" t="str">
        <f aca="false">IF(E36="","",I36+E36*$D$13)</f>
        <v/>
      </c>
      <c r="L36" s="11"/>
      <c r="M36" s="17" t="str">
        <f aca="false">IF(OR(E36="",L36=""),"",L36-I36)</f>
        <v/>
      </c>
      <c r="N36" s="19" t="str">
        <f aca="false">IF(OR(E36="",L36="",L36=0),"",M36/L36)</f>
        <v/>
      </c>
      <c r="O36" s="18" t="str">
        <f aca="false">IF(OR(E36="",L36="",E36=0),"",M36/E36)</f>
        <v/>
      </c>
      <c r="P36" s="17" t="str">
        <f aca="false">IF(OR(L36="",C36="",C36=0),"",L36/C36)</f>
        <v/>
      </c>
      <c r="Q36" s="10" t="str">
        <f aca="false">IF(OR(E36="",L36=""),"",IF(O36&lt;$D$12,"ABAIXO DO PISO: não feche",IF(O36&lt;$D$13,"Acima do piso, abaixo da meta","Na meta")))</f>
        <v/>
      </c>
    </row>
    <row r="37" customFormat="false" ht="15" hidden="false" customHeight="false" outlineLevel="0" collapsed="false">
      <c r="A37" s="6"/>
      <c r="B37" s="6"/>
      <c r="C37" s="14"/>
      <c r="D37" s="14"/>
      <c r="E37" s="16"/>
      <c r="F37" s="11"/>
      <c r="G37" s="17" t="str">
        <f aca="false">IF(E37="","",D37/1000*$D$8*(1+$D$9))</f>
        <v/>
      </c>
      <c r="H37" s="17" t="str">
        <f aca="false">IF(E37="","",E37*$D$10/1000*$D$11)</f>
        <v/>
      </c>
      <c r="I37" s="18" t="str">
        <f aca="false">IF(E37="","",G37+H37+F37)</f>
        <v/>
      </c>
      <c r="J37" s="17" t="str">
        <f aca="false">IF(E37="","",I37+E37*$D$12)</f>
        <v/>
      </c>
      <c r="K37" s="17" t="str">
        <f aca="false">IF(E37="","",I37+E37*$D$13)</f>
        <v/>
      </c>
      <c r="L37" s="11"/>
      <c r="M37" s="17" t="str">
        <f aca="false">IF(OR(E37="",L37=""),"",L37-I37)</f>
        <v/>
      </c>
      <c r="N37" s="19" t="str">
        <f aca="false">IF(OR(E37="",L37="",L37=0),"",M37/L37)</f>
        <v/>
      </c>
      <c r="O37" s="18" t="str">
        <f aca="false">IF(OR(E37="",L37="",E37=0),"",M37/E37)</f>
        <v/>
      </c>
      <c r="P37" s="17" t="str">
        <f aca="false">IF(OR(L37="",C37="",C37=0),"",L37/C37)</f>
        <v/>
      </c>
      <c r="Q37" s="10" t="str">
        <f aca="false">IF(OR(E37="",L37=""),"",IF(O37&lt;$D$12,"ABAIXO DO PISO: não feche",IF(O37&lt;$D$13,"Acima do piso, abaixo da meta","Na meta")))</f>
        <v/>
      </c>
    </row>
    <row r="38" customFormat="false" ht="15" hidden="false" customHeight="false" outlineLevel="0" collapsed="false">
      <c r="A38" s="6"/>
      <c r="B38" s="6"/>
      <c r="C38" s="14"/>
      <c r="D38" s="14"/>
      <c r="E38" s="16"/>
      <c r="F38" s="11"/>
      <c r="G38" s="17" t="str">
        <f aca="false">IF(E38="","",D38/1000*$D$8*(1+$D$9))</f>
        <v/>
      </c>
      <c r="H38" s="17" t="str">
        <f aca="false">IF(E38="","",E38*$D$10/1000*$D$11)</f>
        <v/>
      </c>
      <c r="I38" s="18" t="str">
        <f aca="false">IF(E38="","",G38+H38+F38)</f>
        <v/>
      </c>
      <c r="J38" s="17" t="str">
        <f aca="false">IF(E38="","",I38+E38*$D$12)</f>
        <v/>
      </c>
      <c r="K38" s="17" t="str">
        <f aca="false">IF(E38="","",I38+E38*$D$13)</f>
        <v/>
      </c>
      <c r="L38" s="11"/>
      <c r="M38" s="17" t="str">
        <f aca="false">IF(OR(E38="",L38=""),"",L38-I38)</f>
        <v/>
      </c>
      <c r="N38" s="19" t="str">
        <f aca="false">IF(OR(E38="",L38="",L38=0),"",M38/L38)</f>
        <v/>
      </c>
      <c r="O38" s="18" t="str">
        <f aca="false">IF(OR(E38="",L38="",E38=0),"",M38/E38)</f>
        <v/>
      </c>
      <c r="P38" s="17" t="str">
        <f aca="false">IF(OR(L38="",C38="",C38=0),"",L38/C38)</f>
        <v/>
      </c>
      <c r="Q38" s="10" t="str">
        <f aca="false">IF(OR(E38="",L38=""),"",IF(O38&lt;$D$12,"ABAIXO DO PISO: não feche",IF(O38&lt;$D$13,"Acima do piso, abaixo da meta","Na meta")))</f>
        <v/>
      </c>
    </row>
    <row r="39" customFormat="false" ht="15" hidden="false" customHeight="false" outlineLevel="0" collapsed="false">
      <c r="A39" s="6"/>
      <c r="B39" s="6"/>
      <c r="C39" s="14"/>
      <c r="D39" s="14"/>
      <c r="E39" s="16"/>
      <c r="F39" s="11"/>
      <c r="G39" s="17" t="str">
        <f aca="false">IF(E39="","",D39/1000*$D$8*(1+$D$9))</f>
        <v/>
      </c>
      <c r="H39" s="17" t="str">
        <f aca="false">IF(E39="","",E39*$D$10/1000*$D$11)</f>
        <v/>
      </c>
      <c r="I39" s="18" t="str">
        <f aca="false">IF(E39="","",G39+H39+F39)</f>
        <v/>
      </c>
      <c r="J39" s="17" t="str">
        <f aca="false">IF(E39="","",I39+E39*$D$12)</f>
        <v/>
      </c>
      <c r="K39" s="17" t="str">
        <f aca="false">IF(E39="","",I39+E39*$D$13)</f>
        <v/>
      </c>
      <c r="L39" s="11"/>
      <c r="M39" s="17" t="str">
        <f aca="false">IF(OR(E39="",L39=""),"",L39-I39)</f>
        <v/>
      </c>
      <c r="N39" s="19" t="str">
        <f aca="false">IF(OR(E39="",L39="",L39=0),"",M39/L39)</f>
        <v/>
      </c>
      <c r="O39" s="18" t="str">
        <f aca="false">IF(OR(E39="",L39="",E39=0),"",M39/E39)</f>
        <v/>
      </c>
      <c r="P39" s="17" t="str">
        <f aca="false">IF(OR(L39="",C39="",C39=0),"",L39/C39)</f>
        <v/>
      </c>
      <c r="Q39" s="10" t="str">
        <f aca="false">IF(OR(E39="",L39=""),"",IF(O39&lt;$D$12,"ABAIXO DO PISO: não feche",IF(O39&lt;$D$13,"Acima do piso, abaixo da meta","Na meta")))</f>
        <v/>
      </c>
    </row>
    <row r="40" customFormat="false" ht="15" hidden="false" customHeight="false" outlineLevel="0" collapsed="false">
      <c r="A40" s="6"/>
      <c r="B40" s="6"/>
      <c r="C40" s="14"/>
      <c r="D40" s="14"/>
      <c r="E40" s="16"/>
      <c r="F40" s="11"/>
      <c r="G40" s="17" t="str">
        <f aca="false">IF(E40="","",D40/1000*$D$8*(1+$D$9))</f>
        <v/>
      </c>
      <c r="H40" s="17" t="str">
        <f aca="false">IF(E40="","",E40*$D$10/1000*$D$11)</f>
        <v/>
      </c>
      <c r="I40" s="18" t="str">
        <f aca="false">IF(E40="","",G40+H40+F40)</f>
        <v/>
      </c>
      <c r="J40" s="17" t="str">
        <f aca="false">IF(E40="","",I40+E40*$D$12)</f>
        <v/>
      </c>
      <c r="K40" s="17" t="str">
        <f aca="false">IF(E40="","",I40+E40*$D$13)</f>
        <v/>
      </c>
      <c r="L40" s="11"/>
      <c r="M40" s="17" t="str">
        <f aca="false">IF(OR(E40="",L40=""),"",L40-I40)</f>
        <v/>
      </c>
      <c r="N40" s="19" t="str">
        <f aca="false">IF(OR(E40="",L40="",L40=0),"",M40/L40)</f>
        <v/>
      </c>
      <c r="O40" s="18" t="str">
        <f aca="false">IF(OR(E40="",L40="",E40=0),"",M40/E40)</f>
        <v/>
      </c>
      <c r="P40" s="17" t="str">
        <f aca="false">IF(OR(L40="",C40="",C40=0),"",L40/C40)</f>
        <v/>
      </c>
      <c r="Q40" s="10" t="str">
        <f aca="false">IF(OR(E40="",L40=""),"",IF(O40&lt;$D$12,"ABAIXO DO PISO: não feche",IF(O40&lt;$D$13,"Acima do piso, abaixo da meta","Na meta")))</f>
        <v/>
      </c>
    </row>
    <row r="41" customFormat="false" ht="15" hidden="false" customHeight="false" outlineLevel="0" collapsed="false">
      <c r="A41" s="6"/>
      <c r="B41" s="6"/>
      <c r="C41" s="14"/>
      <c r="D41" s="14"/>
      <c r="E41" s="16"/>
      <c r="F41" s="11"/>
      <c r="G41" s="17" t="str">
        <f aca="false">IF(E41="","",D41/1000*$D$8*(1+$D$9))</f>
        <v/>
      </c>
      <c r="H41" s="17" t="str">
        <f aca="false">IF(E41="","",E41*$D$10/1000*$D$11)</f>
        <v/>
      </c>
      <c r="I41" s="18" t="str">
        <f aca="false">IF(E41="","",G41+H41+F41)</f>
        <v/>
      </c>
      <c r="J41" s="17" t="str">
        <f aca="false">IF(E41="","",I41+E41*$D$12)</f>
        <v/>
      </c>
      <c r="K41" s="17" t="str">
        <f aca="false">IF(E41="","",I41+E41*$D$13)</f>
        <v/>
      </c>
      <c r="L41" s="11"/>
      <c r="M41" s="17" t="str">
        <f aca="false">IF(OR(E41="",L41=""),"",L41-I41)</f>
        <v/>
      </c>
      <c r="N41" s="19" t="str">
        <f aca="false">IF(OR(E41="",L41="",L41=0),"",M41/L41)</f>
        <v/>
      </c>
      <c r="O41" s="18" t="str">
        <f aca="false">IF(OR(E41="",L41="",E41=0),"",M41/E41)</f>
        <v/>
      </c>
      <c r="P41" s="17" t="str">
        <f aca="false">IF(OR(L41="",C41="",C41=0),"",L41/C41)</f>
        <v/>
      </c>
      <c r="Q41" s="10" t="str">
        <f aca="false">IF(OR(E41="",L41=""),"",IF(O41&lt;$D$12,"ABAIXO DO PISO: não feche",IF(O41&lt;$D$13,"Acima do piso, abaixo da meta","Na meta")))</f>
        <v/>
      </c>
    </row>
    <row r="42" customFormat="false" ht="15" hidden="false" customHeight="false" outlineLevel="0" collapsed="false">
      <c r="A42" s="6"/>
      <c r="B42" s="6"/>
      <c r="C42" s="14"/>
      <c r="D42" s="14"/>
      <c r="E42" s="16"/>
      <c r="F42" s="11"/>
      <c r="G42" s="17" t="str">
        <f aca="false">IF(E42="","",D42/1000*$D$8*(1+$D$9))</f>
        <v/>
      </c>
      <c r="H42" s="17" t="str">
        <f aca="false">IF(E42="","",E42*$D$10/1000*$D$11)</f>
        <v/>
      </c>
      <c r="I42" s="18" t="str">
        <f aca="false">IF(E42="","",G42+H42+F42)</f>
        <v/>
      </c>
      <c r="J42" s="17" t="str">
        <f aca="false">IF(E42="","",I42+E42*$D$12)</f>
        <v/>
      </c>
      <c r="K42" s="17" t="str">
        <f aca="false">IF(E42="","",I42+E42*$D$13)</f>
        <v/>
      </c>
      <c r="L42" s="11"/>
      <c r="M42" s="17" t="str">
        <f aca="false">IF(OR(E42="",L42=""),"",L42-I42)</f>
        <v/>
      </c>
      <c r="N42" s="19" t="str">
        <f aca="false">IF(OR(E42="",L42="",L42=0),"",M42/L42)</f>
        <v/>
      </c>
      <c r="O42" s="18" t="str">
        <f aca="false">IF(OR(E42="",L42="",E42=0),"",M42/E42)</f>
        <v/>
      </c>
      <c r="P42" s="17" t="str">
        <f aca="false">IF(OR(L42="",C42="",C42=0),"",L42/C42)</f>
        <v/>
      </c>
      <c r="Q42" s="10" t="str">
        <f aca="false">IF(OR(E42="",L42=""),"",IF(O42&lt;$D$12,"ABAIXO DO PISO: não feche",IF(O42&lt;$D$13,"Acima do piso, abaixo da meta","Na meta")))</f>
        <v/>
      </c>
    </row>
    <row r="43" customFormat="false" ht="15" hidden="false" customHeight="false" outlineLevel="0" collapsed="false">
      <c r="A43" s="6"/>
      <c r="B43" s="6"/>
      <c r="C43" s="14"/>
      <c r="D43" s="14"/>
      <c r="E43" s="16"/>
      <c r="F43" s="11"/>
      <c r="G43" s="17" t="str">
        <f aca="false">IF(E43="","",D43/1000*$D$8*(1+$D$9))</f>
        <v/>
      </c>
      <c r="H43" s="17" t="str">
        <f aca="false">IF(E43="","",E43*$D$10/1000*$D$11)</f>
        <v/>
      </c>
      <c r="I43" s="18" t="str">
        <f aca="false">IF(E43="","",G43+H43+F43)</f>
        <v/>
      </c>
      <c r="J43" s="17" t="str">
        <f aca="false">IF(E43="","",I43+E43*$D$12)</f>
        <v/>
      </c>
      <c r="K43" s="17" t="str">
        <f aca="false">IF(E43="","",I43+E43*$D$13)</f>
        <v/>
      </c>
      <c r="L43" s="11"/>
      <c r="M43" s="17" t="str">
        <f aca="false">IF(OR(E43="",L43=""),"",L43-I43)</f>
        <v/>
      </c>
      <c r="N43" s="19" t="str">
        <f aca="false">IF(OR(E43="",L43="",L43=0),"",M43/L43)</f>
        <v/>
      </c>
      <c r="O43" s="18" t="str">
        <f aca="false">IF(OR(E43="",L43="",E43=0),"",M43/E43)</f>
        <v/>
      </c>
      <c r="P43" s="17" t="str">
        <f aca="false">IF(OR(L43="",C43="",C43=0),"",L43/C43)</f>
        <v/>
      </c>
      <c r="Q43" s="10" t="str">
        <f aca="false">IF(OR(E43="",L43=""),"",IF(O43&lt;$D$12,"ABAIXO DO PISO: não feche",IF(O43&lt;$D$13,"Acima do piso, abaixo da meta","Na meta")))</f>
        <v/>
      </c>
    </row>
    <row r="44" customFormat="false" ht="15" hidden="false" customHeight="false" outlineLevel="0" collapsed="false">
      <c r="A44" s="6"/>
      <c r="B44" s="6"/>
      <c r="C44" s="14"/>
      <c r="D44" s="14"/>
      <c r="E44" s="16"/>
      <c r="F44" s="11"/>
      <c r="G44" s="17" t="str">
        <f aca="false">IF(E44="","",D44/1000*$D$8*(1+$D$9))</f>
        <v/>
      </c>
      <c r="H44" s="17" t="str">
        <f aca="false">IF(E44="","",E44*$D$10/1000*$D$11)</f>
        <v/>
      </c>
      <c r="I44" s="18" t="str">
        <f aca="false">IF(E44="","",G44+H44+F44)</f>
        <v/>
      </c>
      <c r="J44" s="17" t="str">
        <f aca="false">IF(E44="","",I44+E44*$D$12)</f>
        <v/>
      </c>
      <c r="K44" s="17" t="str">
        <f aca="false">IF(E44="","",I44+E44*$D$13)</f>
        <v/>
      </c>
      <c r="L44" s="11"/>
      <c r="M44" s="17" t="str">
        <f aca="false">IF(OR(E44="",L44=""),"",L44-I44)</f>
        <v/>
      </c>
      <c r="N44" s="19" t="str">
        <f aca="false">IF(OR(E44="",L44="",L44=0),"",M44/L44)</f>
        <v/>
      </c>
      <c r="O44" s="18" t="str">
        <f aca="false">IF(OR(E44="",L44="",E44=0),"",M44/E44)</f>
        <v/>
      </c>
      <c r="P44" s="17" t="str">
        <f aca="false">IF(OR(L44="",C44="",C44=0),"",L44/C44)</f>
        <v/>
      </c>
      <c r="Q44" s="10" t="str">
        <f aca="false">IF(OR(E44="",L44=""),"",IF(O44&lt;$D$12,"ABAIXO DO PISO: não feche",IF(O44&lt;$D$13,"Acima do piso, abaixo da meta","Na meta")))</f>
        <v/>
      </c>
    </row>
    <row r="45" customFormat="false" ht="15" hidden="false" customHeight="false" outlineLevel="0" collapsed="false">
      <c r="A45" s="6"/>
      <c r="B45" s="6"/>
      <c r="C45" s="14"/>
      <c r="D45" s="14"/>
      <c r="E45" s="16"/>
      <c r="F45" s="11"/>
      <c r="G45" s="17" t="str">
        <f aca="false">IF(E45="","",D45/1000*$D$8*(1+$D$9))</f>
        <v/>
      </c>
      <c r="H45" s="17" t="str">
        <f aca="false">IF(E45="","",E45*$D$10/1000*$D$11)</f>
        <v/>
      </c>
      <c r="I45" s="18" t="str">
        <f aca="false">IF(E45="","",G45+H45+F45)</f>
        <v/>
      </c>
      <c r="J45" s="17" t="str">
        <f aca="false">IF(E45="","",I45+E45*$D$12)</f>
        <v/>
      </c>
      <c r="K45" s="17" t="str">
        <f aca="false">IF(E45="","",I45+E45*$D$13)</f>
        <v/>
      </c>
      <c r="L45" s="11"/>
      <c r="M45" s="17" t="str">
        <f aca="false">IF(OR(E45="",L45=""),"",L45-I45)</f>
        <v/>
      </c>
      <c r="N45" s="19" t="str">
        <f aca="false">IF(OR(E45="",L45="",L45=0),"",M45/L45)</f>
        <v/>
      </c>
      <c r="O45" s="18" t="str">
        <f aca="false">IF(OR(E45="",L45="",E45=0),"",M45/E45)</f>
        <v/>
      </c>
      <c r="P45" s="17" t="str">
        <f aca="false">IF(OR(L45="",C45="",C45=0),"",L45/C45)</f>
        <v/>
      </c>
      <c r="Q45" s="10" t="str">
        <f aca="false">IF(OR(E45="",L45=""),"",IF(O45&lt;$D$12,"ABAIXO DO PISO: não feche",IF(O45&lt;$D$13,"Acima do piso, abaixo da meta","Na meta")))</f>
        <v/>
      </c>
    </row>
    <row r="46" customFormat="false" ht="15" hidden="false" customHeight="false" outlineLevel="0" collapsed="false">
      <c r="A46" s="6"/>
      <c r="B46" s="6"/>
      <c r="C46" s="14"/>
      <c r="D46" s="14"/>
      <c r="E46" s="16"/>
      <c r="F46" s="11"/>
      <c r="G46" s="17" t="str">
        <f aca="false">IF(E46="","",D46/1000*$D$8*(1+$D$9))</f>
        <v/>
      </c>
      <c r="H46" s="17" t="str">
        <f aca="false">IF(E46="","",E46*$D$10/1000*$D$11)</f>
        <v/>
      </c>
      <c r="I46" s="18" t="str">
        <f aca="false">IF(E46="","",G46+H46+F46)</f>
        <v/>
      </c>
      <c r="J46" s="17" t="str">
        <f aca="false">IF(E46="","",I46+E46*$D$12)</f>
        <v/>
      </c>
      <c r="K46" s="17" t="str">
        <f aca="false">IF(E46="","",I46+E46*$D$13)</f>
        <v/>
      </c>
      <c r="L46" s="11"/>
      <c r="M46" s="17" t="str">
        <f aca="false">IF(OR(E46="",L46=""),"",L46-I46)</f>
        <v/>
      </c>
      <c r="N46" s="19" t="str">
        <f aca="false">IF(OR(E46="",L46="",L46=0),"",M46/L46)</f>
        <v/>
      </c>
      <c r="O46" s="18" t="str">
        <f aca="false">IF(OR(E46="",L46="",E46=0),"",M46/E46)</f>
        <v/>
      </c>
      <c r="P46" s="17" t="str">
        <f aca="false">IF(OR(L46="",C46="",C46=0),"",L46/C46)</f>
        <v/>
      </c>
      <c r="Q46" s="10" t="str">
        <f aca="false">IF(OR(E46="",L46=""),"",IF(O46&lt;$D$12,"ABAIXO DO PISO: não feche",IF(O46&lt;$D$13,"Acima do piso, abaixo da meta","Na meta")))</f>
        <v/>
      </c>
    </row>
    <row r="48" customFormat="false" ht="15" hidden="false" customHeight="false" outlineLevel="0" collapsed="false">
      <c r="A48" s="5" t="s">
        <v>40</v>
      </c>
    </row>
    <row r="49" customFormat="false" ht="15" hidden="false" customHeight="false" outlineLevel="0" collapsed="false">
      <c r="A49" s="20" t="s">
        <v>41</v>
      </c>
    </row>
    <row r="50" customFormat="false" ht="15" hidden="false" customHeight="false" outlineLevel="0" collapsed="false">
      <c r="A50" s="20" t="s">
        <v>42</v>
      </c>
    </row>
    <row r="51" customFormat="false" ht="15" hidden="false" customHeight="false" outlineLevel="0" collapsed="false">
      <c r="A51" s="20" t="s">
        <v>43</v>
      </c>
    </row>
  </sheetData>
  <mergeCells count="6">
    <mergeCell ref="A8:C8"/>
    <mergeCell ref="A9:C9"/>
    <mergeCell ref="A10:C10"/>
    <mergeCell ref="A11:C11"/>
    <mergeCell ref="A12:C12"/>
    <mergeCell ref="A13:C13"/>
  </mergeCells>
  <conditionalFormatting sqref="Q17:Q46">
    <cfRule type="expression" priority="2" aboveAverage="0" equalAverage="0" bottom="0" percent="0" rank="0" text="" dxfId="0">
      <formula>LEFT(Q17,6)="ABAIXO"</formula>
    </cfRule>
    <cfRule type="expression" priority="3" aboveAverage="0" equalAverage="0" bottom="0" percent="0" rank="0" text="" dxfId="1">
      <formula>Q17="Na meta"</formula>
    </cfRule>
    <cfRule type="expression" priority="4" aboveAverage="0" equalAverage="0" bottom="0" percent="0" rank="0" text="" dxfId="2">
      <formula>LEFT(Q17,6)="Acima "</formula>
    </cfRule>
  </conditionalFormatting>
  <dataValidations count="1">
    <dataValidation allowBlank="true" errorStyle="stop" operator="between" showDropDown="false" showErrorMessage="false" showInputMessage="false" sqref="B17:B46" type="list">
      <formula1>"G-01,G-02,G-03,G-04,G-05,G-06,G-07,G-08,G-09,G-10"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1"/>
    <col collapsed="false" customWidth="true" hidden="false" outlineLevel="0" max="11" min="11" style="0" width="34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5" min="14" style="0" width="13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4" t="s">
        <v>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15" hidden="false" customHeight="false" outlineLevel="0" collapsed="false">
      <c r="A5" s="5" t="s">
        <v>3</v>
      </c>
      <c r="B5" s="6" t="s">
        <v>4</v>
      </c>
      <c r="C5" s="7" t="s">
        <v>5</v>
      </c>
      <c r="D5" s="8" t="s">
        <v>6</v>
      </c>
    </row>
    <row r="7" customFormat="false" ht="15" hidden="false" customHeight="false" outlineLevel="0" collapsed="false">
      <c r="A7" s="9" t="s">
        <v>46</v>
      </c>
    </row>
    <row r="8" customFormat="false" ht="15" hidden="false" customHeight="false" outlineLevel="0" collapsed="false">
      <c r="A8" s="10" t="s">
        <v>47</v>
      </c>
      <c r="B8" s="10"/>
      <c r="C8" s="21" t="n">
        <f aca="false">COUNTA(B18:B37)</f>
        <v>1</v>
      </c>
      <c r="D8" s="10" t="s">
        <v>48</v>
      </c>
      <c r="E8" s="10"/>
      <c r="F8" s="21" t="n">
        <f aca="true">COUNTIFS(M18:M37,"&lt;="&amp;TODAY(),I18:I37,"&lt;&gt;Fechou",I18:I37,"&lt;&gt;Não agora")</f>
        <v>0</v>
      </c>
    </row>
    <row r="9" customFormat="false" ht="15" hidden="false" customHeight="false" outlineLevel="0" collapsed="false">
      <c r="A9" s="10" t="s">
        <v>49</v>
      </c>
      <c r="B9" s="10"/>
      <c r="C9" s="21" t="n">
        <f aca="false">COUNT(H18:H37)</f>
        <v>1</v>
      </c>
      <c r="D9" s="10" t="s">
        <v>50</v>
      </c>
      <c r="E9" s="10"/>
      <c r="F9" s="18" t="n">
        <f aca="false">SUM(N18:N37)</f>
        <v>570</v>
      </c>
    </row>
    <row r="10" customFormat="false" ht="15" hidden="false" customHeight="false" outlineLevel="0" collapsed="false">
      <c r="A10" s="10" t="s">
        <v>51</v>
      </c>
      <c r="B10" s="10"/>
      <c r="C10" s="21" t="n">
        <f aca="false">COUNTIF(J18:J37,"Sim")</f>
        <v>1</v>
      </c>
      <c r="D10" s="10" t="s">
        <v>52</v>
      </c>
      <c r="E10" s="10"/>
      <c r="F10" s="18" t="n">
        <f aca="false">SUM(O18:O37)</f>
        <v>0</v>
      </c>
    </row>
    <row r="11" customFormat="false" ht="15" hidden="false" customHeight="false" outlineLevel="0" collapsed="false">
      <c r="A11" s="10" t="s">
        <v>53</v>
      </c>
      <c r="B11" s="10"/>
      <c r="C11" s="21" t="n">
        <f aca="false">COUNTIF(I18:I37,"Fechou")</f>
        <v>0</v>
      </c>
      <c r="D11" s="10" t="s">
        <v>54</v>
      </c>
      <c r="E11" s="10"/>
      <c r="F11" s="21" t="n">
        <f aca="false">COUNTA(L18:L37)</f>
        <v>1</v>
      </c>
    </row>
    <row r="13" customFormat="false" ht="15" hidden="false" customHeight="false" outlineLevel="0" collapsed="false">
      <c r="A13" s="22" t="s">
        <v>55</v>
      </c>
    </row>
    <row r="14" customFormat="false" ht="15" hidden="false" customHeight="false" outlineLevel="0" collapsed="false">
      <c r="A14" s="22" t="s">
        <v>56</v>
      </c>
    </row>
    <row r="17" customFormat="false" ht="33.75" hidden="false" customHeight="true" outlineLevel="0" collapsed="false">
      <c r="A17" s="15" t="s">
        <v>57</v>
      </c>
      <c r="B17" s="15" t="s">
        <v>58</v>
      </c>
      <c r="C17" s="15" t="s">
        <v>59</v>
      </c>
      <c r="D17" s="15" t="s">
        <v>22</v>
      </c>
      <c r="E17" s="15" t="s">
        <v>60</v>
      </c>
      <c r="F17" s="15" t="s">
        <v>61</v>
      </c>
      <c r="G17" s="15" t="s">
        <v>62</v>
      </c>
      <c r="H17" s="15" t="s">
        <v>63</v>
      </c>
      <c r="I17" s="15" t="s">
        <v>64</v>
      </c>
      <c r="J17" s="15" t="s">
        <v>65</v>
      </c>
      <c r="K17" s="15" t="s">
        <v>66</v>
      </c>
      <c r="L17" s="15" t="s">
        <v>67</v>
      </c>
      <c r="M17" s="15" t="s">
        <v>68</v>
      </c>
      <c r="N17" s="15" t="s">
        <v>69</v>
      </c>
      <c r="O17" s="15" t="s">
        <v>70</v>
      </c>
    </row>
    <row r="18" customFormat="false" ht="30" hidden="false" customHeight="true" outlineLevel="0" collapsed="false">
      <c r="A18" s="23" t="n">
        <v>1</v>
      </c>
      <c r="B18" s="6" t="s">
        <v>71</v>
      </c>
      <c r="C18" s="6" t="s">
        <v>72</v>
      </c>
      <c r="D18" s="6" t="s">
        <v>39</v>
      </c>
      <c r="E18" s="6" t="s">
        <v>73</v>
      </c>
      <c r="F18" s="6" t="s">
        <v>74</v>
      </c>
      <c r="G18" s="24" t="n">
        <v>4.6</v>
      </c>
      <c r="H18" s="25" t="n">
        <v>46301</v>
      </c>
      <c r="I18" s="6" t="s">
        <v>75</v>
      </c>
      <c r="J18" s="6" t="s">
        <v>76</v>
      </c>
      <c r="K18" s="26" t="s">
        <v>77</v>
      </c>
      <c r="L18" s="26" t="s">
        <v>78</v>
      </c>
      <c r="M18" s="25" t="n">
        <v>46308</v>
      </c>
      <c r="N18" s="11" t="n">
        <v>570</v>
      </c>
      <c r="O18" s="11"/>
    </row>
    <row r="19" customFormat="false" ht="30" hidden="false" customHeight="true" outlineLevel="0" collapsed="false">
      <c r="A19" s="23" t="n">
        <v>2</v>
      </c>
      <c r="B19" s="6"/>
      <c r="C19" s="6"/>
      <c r="D19" s="6"/>
      <c r="E19" s="6"/>
      <c r="F19" s="6"/>
      <c r="G19" s="24"/>
      <c r="H19" s="25"/>
      <c r="I19" s="6"/>
      <c r="J19" s="6"/>
      <c r="K19" s="26"/>
      <c r="L19" s="26"/>
      <c r="M19" s="25"/>
      <c r="N19" s="11"/>
      <c r="O19" s="11"/>
    </row>
    <row r="20" customFormat="false" ht="30" hidden="false" customHeight="true" outlineLevel="0" collapsed="false">
      <c r="A20" s="23" t="n">
        <v>3</v>
      </c>
      <c r="B20" s="6"/>
      <c r="C20" s="6"/>
      <c r="D20" s="6"/>
      <c r="E20" s="6"/>
      <c r="F20" s="6"/>
      <c r="G20" s="24"/>
      <c r="H20" s="25"/>
      <c r="I20" s="6"/>
      <c r="J20" s="6"/>
      <c r="K20" s="26"/>
      <c r="L20" s="26"/>
      <c r="M20" s="25"/>
      <c r="N20" s="11"/>
      <c r="O20" s="11"/>
    </row>
    <row r="21" customFormat="false" ht="30" hidden="false" customHeight="true" outlineLevel="0" collapsed="false">
      <c r="A21" s="23" t="n">
        <v>4</v>
      </c>
      <c r="B21" s="6"/>
      <c r="C21" s="6"/>
      <c r="D21" s="6"/>
      <c r="E21" s="6"/>
      <c r="F21" s="6"/>
      <c r="G21" s="24"/>
      <c r="H21" s="25"/>
      <c r="I21" s="6"/>
      <c r="J21" s="6"/>
      <c r="K21" s="26"/>
      <c r="L21" s="26"/>
      <c r="M21" s="25"/>
      <c r="N21" s="11"/>
      <c r="O21" s="11"/>
    </row>
    <row r="22" customFormat="false" ht="30" hidden="false" customHeight="true" outlineLevel="0" collapsed="false">
      <c r="A22" s="23" t="n">
        <v>5</v>
      </c>
      <c r="B22" s="6"/>
      <c r="C22" s="6"/>
      <c r="D22" s="6"/>
      <c r="E22" s="6"/>
      <c r="F22" s="6"/>
      <c r="G22" s="24"/>
      <c r="H22" s="25"/>
      <c r="I22" s="6"/>
      <c r="J22" s="6"/>
      <c r="K22" s="26"/>
      <c r="L22" s="26"/>
      <c r="M22" s="25"/>
      <c r="N22" s="11"/>
      <c r="O22" s="11"/>
    </row>
    <row r="23" customFormat="false" ht="30" hidden="false" customHeight="true" outlineLevel="0" collapsed="false">
      <c r="A23" s="23" t="n">
        <v>6</v>
      </c>
      <c r="B23" s="6"/>
      <c r="C23" s="6"/>
      <c r="D23" s="6"/>
      <c r="E23" s="6"/>
      <c r="F23" s="6"/>
      <c r="G23" s="24"/>
      <c r="H23" s="25"/>
      <c r="I23" s="6"/>
      <c r="J23" s="6"/>
      <c r="K23" s="26"/>
      <c r="L23" s="26"/>
      <c r="M23" s="25"/>
      <c r="N23" s="11"/>
      <c r="O23" s="11"/>
    </row>
    <row r="24" customFormat="false" ht="30" hidden="false" customHeight="true" outlineLevel="0" collapsed="false">
      <c r="A24" s="23" t="n">
        <v>7</v>
      </c>
      <c r="B24" s="6"/>
      <c r="C24" s="6"/>
      <c r="D24" s="6"/>
      <c r="E24" s="6"/>
      <c r="F24" s="6"/>
      <c r="G24" s="24"/>
      <c r="H24" s="25"/>
      <c r="I24" s="6"/>
      <c r="J24" s="6"/>
      <c r="K24" s="26"/>
      <c r="L24" s="26"/>
      <c r="M24" s="25"/>
      <c r="N24" s="11"/>
      <c r="O24" s="11"/>
    </row>
    <row r="25" customFormat="false" ht="30" hidden="false" customHeight="true" outlineLevel="0" collapsed="false">
      <c r="A25" s="23" t="n">
        <v>8</v>
      </c>
      <c r="B25" s="6"/>
      <c r="C25" s="6"/>
      <c r="D25" s="6"/>
      <c r="E25" s="6"/>
      <c r="F25" s="6"/>
      <c r="G25" s="24"/>
      <c r="H25" s="25"/>
      <c r="I25" s="6"/>
      <c r="J25" s="6"/>
      <c r="K25" s="26"/>
      <c r="L25" s="26"/>
      <c r="M25" s="25"/>
      <c r="N25" s="11"/>
      <c r="O25" s="11"/>
    </row>
    <row r="26" customFormat="false" ht="30" hidden="false" customHeight="true" outlineLevel="0" collapsed="false">
      <c r="A26" s="23" t="n">
        <v>9</v>
      </c>
      <c r="B26" s="6"/>
      <c r="C26" s="6"/>
      <c r="D26" s="6"/>
      <c r="E26" s="6"/>
      <c r="F26" s="6"/>
      <c r="G26" s="24"/>
      <c r="H26" s="25"/>
      <c r="I26" s="6"/>
      <c r="J26" s="6"/>
      <c r="K26" s="26"/>
      <c r="L26" s="26"/>
      <c r="M26" s="25"/>
      <c r="N26" s="11"/>
      <c r="O26" s="11"/>
    </row>
    <row r="27" customFormat="false" ht="30" hidden="false" customHeight="true" outlineLevel="0" collapsed="false">
      <c r="A27" s="23" t="n">
        <v>10</v>
      </c>
      <c r="B27" s="6"/>
      <c r="C27" s="6"/>
      <c r="D27" s="6"/>
      <c r="E27" s="6"/>
      <c r="F27" s="6"/>
      <c r="G27" s="24"/>
      <c r="H27" s="25"/>
      <c r="I27" s="6"/>
      <c r="J27" s="6"/>
      <c r="K27" s="26"/>
      <c r="L27" s="26"/>
      <c r="M27" s="25"/>
      <c r="N27" s="11"/>
      <c r="O27" s="11"/>
    </row>
    <row r="28" customFormat="false" ht="30" hidden="false" customHeight="true" outlineLevel="0" collapsed="false">
      <c r="A28" s="23" t="n">
        <v>11</v>
      </c>
      <c r="B28" s="6"/>
      <c r="C28" s="6"/>
      <c r="D28" s="6"/>
      <c r="E28" s="6"/>
      <c r="F28" s="6"/>
      <c r="G28" s="24"/>
      <c r="H28" s="25"/>
      <c r="I28" s="6"/>
      <c r="J28" s="6"/>
      <c r="K28" s="26"/>
      <c r="L28" s="26"/>
      <c r="M28" s="25"/>
      <c r="N28" s="11"/>
      <c r="O28" s="11"/>
    </row>
    <row r="29" customFormat="false" ht="30" hidden="false" customHeight="true" outlineLevel="0" collapsed="false">
      <c r="A29" s="23" t="n">
        <v>12</v>
      </c>
      <c r="B29" s="6"/>
      <c r="C29" s="6"/>
      <c r="D29" s="6"/>
      <c r="E29" s="6"/>
      <c r="F29" s="6"/>
      <c r="G29" s="24"/>
      <c r="H29" s="25"/>
      <c r="I29" s="6"/>
      <c r="J29" s="6"/>
      <c r="K29" s="26"/>
      <c r="L29" s="26"/>
      <c r="M29" s="25"/>
      <c r="N29" s="11"/>
      <c r="O29" s="11"/>
    </row>
    <row r="30" customFormat="false" ht="30" hidden="false" customHeight="true" outlineLevel="0" collapsed="false">
      <c r="A30" s="23" t="n">
        <v>13</v>
      </c>
      <c r="B30" s="6"/>
      <c r="C30" s="6"/>
      <c r="D30" s="6"/>
      <c r="E30" s="6"/>
      <c r="F30" s="6"/>
      <c r="G30" s="24"/>
      <c r="H30" s="25"/>
      <c r="I30" s="6"/>
      <c r="J30" s="6"/>
      <c r="K30" s="26"/>
      <c r="L30" s="26"/>
      <c r="M30" s="25"/>
      <c r="N30" s="11"/>
      <c r="O30" s="11"/>
    </row>
    <row r="31" customFormat="false" ht="30" hidden="false" customHeight="true" outlineLevel="0" collapsed="false">
      <c r="A31" s="23" t="n">
        <v>14</v>
      </c>
      <c r="B31" s="6"/>
      <c r="C31" s="6"/>
      <c r="D31" s="6"/>
      <c r="E31" s="6"/>
      <c r="F31" s="6"/>
      <c r="G31" s="24"/>
      <c r="H31" s="25"/>
      <c r="I31" s="6"/>
      <c r="J31" s="6"/>
      <c r="K31" s="26"/>
      <c r="L31" s="26"/>
      <c r="M31" s="25"/>
      <c r="N31" s="11"/>
      <c r="O31" s="11"/>
    </row>
    <row r="32" customFormat="false" ht="30" hidden="false" customHeight="true" outlineLevel="0" collapsed="false">
      <c r="A32" s="23" t="n">
        <v>15</v>
      </c>
      <c r="B32" s="6"/>
      <c r="C32" s="6"/>
      <c r="D32" s="6"/>
      <c r="E32" s="6"/>
      <c r="F32" s="6"/>
      <c r="G32" s="24"/>
      <c r="H32" s="25"/>
      <c r="I32" s="6"/>
      <c r="J32" s="6"/>
      <c r="K32" s="26"/>
      <c r="L32" s="26"/>
      <c r="M32" s="25"/>
      <c r="N32" s="11"/>
      <c r="O32" s="11"/>
    </row>
    <row r="33" customFormat="false" ht="30" hidden="false" customHeight="true" outlineLevel="0" collapsed="false">
      <c r="A33" s="23" t="n">
        <v>16</v>
      </c>
      <c r="B33" s="6"/>
      <c r="C33" s="6"/>
      <c r="D33" s="6"/>
      <c r="E33" s="6"/>
      <c r="F33" s="6"/>
      <c r="G33" s="24"/>
      <c r="H33" s="25"/>
      <c r="I33" s="6"/>
      <c r="J33" s="6"/>
      <c r="K33" s="26"/>
      <c r="L33" s="26"/>
      <c r="M33" s="25"/>
      <c r="N33" s="11"/>
      <c r="O33" s="11"/>
    </row>
    <row r="34" customFormat="false" ht="30" hidden="false" customHeight="true" outlineLevel="0" collapsed="false">
      <c r="A34" s="23" t="n">
        <v>17</v>
      </c>
      <c r="B34" s="6"/>
      <c r="C34" s="6"/>
      <c r="D34" s="6"/>
      <c r="E34" s="6"/>
      <c r="F34" s="6"/>
      <c r="G34" s="24"/>
      <c r="H34" s="25"/>
      <c r="I34" s="6"/>
      <c r="J34" s="6"/>
      <c r="K34" s="26"/>
      <c r="L34" s="26"/>
      <c r="M34" s="25"/>
      <c r="N34" s="11"/>
      <c r="O34" s="11"/>
    </row>
    <row r="35" customFormat="false" ht="30" hidden="false" customHeight="true" outlineLevel="0" collapsed="false">
      <c r="A35" s="23" t="n">
        <v>18</v>
      </c>
      <c r="B35" s="6"/>
      <c r="C35" s="6"/>
      <c r="D35" s="6"/>
      <c r="E35" s="6"/>
      <c r="F35" s="6"/>
      <c r="G35" s="24"/>
      <c r="H35" s="25"/>
      <c r="I35" s="6"/>
      <c r="J35" s="6"/>
      <c r="K35" s="26"/>
      <c r="L35" s="26"/>
      <c r="M35" s="25"/>
      <c r="N35" s="11"/>
      <c r="O35" s="11"/>
    </row>
    <row r="36" customFormat="false" ht="30" hidden="false" customHeight="true" outlineLevel="0" collapsed="false">
      <c r="A36" s="23" t="n">
        <v>19</v>
      </c>
      <c r="B36" s="6"/>
      <c r="C36" s="6"/>
      <c r="D36" s="6"/>
      <c r="E36" s="6"/>
      <c r="F36" s="6"/>
      <c r="G36" s="24"/>
      <c r="H36" s="25"/>
      <c r="I36" s="6"/>
      <c r="J36" s="6"/>
      <c r="K36" s="26"/>
      <c r="L36" s="26"/>
      <c r="M36" s="25"/>
      <c r="N36" s="11"/>
      <c r="O36" s="11"/>
    </row>
    <row r="37" customFormat="false" ht="30" hidden="false" customHeight="true" outlineLevel="0" collapsed="false">
      <c r="A37" s="23" t="n">
        <v>20</v>
      </c>
      <c r="B37" s="6"/>
      <c r="C37" s="6"/>
      <c r="D37" s="6"/>
      <c r="E37" s="6"/>
      <c r="F37" s="6"/>
      <c r="G37" s="24"/>
      <c r="H37" s="25"/>
      <c r="I37" s="6"/>
      <c r="J37" s="6"/>
      <c r="K37" s="26"/>
      <c r="L37" s="26"/>
      <c r="M37" s="25"/>
      <c r="N37" s="11"/>
      <c r="O37" s="11"/>
    </row>
  </sheetData>
  <mergeCells count="8">
    <mergeCell ref="A8:B8"/>
    <mergeCell ref="D8:E8"/>
    <mergeCell ref="A9:B9"/>
    <mergeCell ref="D9:E9"/>
    <mergeCell ref="A10:B10"/>
    <mergeCell ref="D10:E10"/>
    <mergeCell ref="A11:B11"/>
    <mergeCell ref="D11:E11"/>
  </mergeCells>
  <conditionalFormatting sqref="M18:M37">
    <cfRule type="expression" priority="2" aboveAverage="0" equalAverage="0" bottom="0" percent="0" rank="0" text="" dxfId="1">
      <formula>AND(M18&lt;&gt;"",M18&lt;=TODAY(),I18&lt;&gt;"Fechou",I18&lt;&gt;"Não agora")</formula>
    </cfRule>
  </conditionalFormatting>
  <conditionalFormatting sqref="A18:O37">
    <cfRule type="expression" priority="3" aboveAverage="0" equalAverage="0" bottom="0" percent="0" rank="0" text="" dxfId="3">
      <formula>$I18="Fechou"</formula>
    </cfRule>
    <cfRule type="expression" priority="4" aboveAverage="0" equalAverage="0" bottom="0" percent="0" rank="0" text="" dxfId="4">
      <formula>$I18="Não agora"</formula>
    </cfRule>
  </conditionalFormatting>
  <dataValidations count="3">
    <dataValidation allowBlank="true" errorStyle="stop" operator="between" showDropDown="false" showErrorMessage="false" showInputMessage="false" sqref="I18:I37" type="list">
      <formula1>"A visitar,Visitado,Amostra deixada,Proposta entregue,Follow-up 48h enviado,Follow-up 7 dias enviado,Follow-up final enviado,Fechou,Não agora"</formula1>
      <formula2>0</formula2>
    </dataValidation>
    <dataValidation allowBlank="true" errorStyle="stop" operator="between" showDropDown="false" showErrorMessage="false" showInputMessage="false" sqref="J18:J37" type="list">
      <formula1>"Sim,Não"</formula1>
      <formula2>0</formula2>
    </dataValidation>
    <dataValidation allowBlank="true" errorStyle="stop" operator="between" showDropDown="false" showErrorMessage="false" showInputMessage="false" sqref="D18:D37" type="list">
      <formula1>"G-01,G-02,G-03,G-04,G-05,G-06,G-07,G-08,G-09,G-10"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tru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46"/>
    <col collapsed="false" customWidth="true" hidden="false" outlineLevel="0" max="6" min="6" style="0" width="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79</v>
      </c>
      <c r="B2" s="2"/>
      <c r="C2" s="2"/>
      <c r="D2" s="2"/>
      <c r="E2" s="2"/>
    </row>
    <row r="3" customFormat="false" ht="15" hidden="false" customHeight="false" outlineLevel="0" collapsed="false">
      <c r="A3" s="4" t="s">
        <v>80</v>
      </c>
      <c r="B3" s="2"/>
      <c r="C3" s="2"/>
      <c r="D3" s="2"/>
      <c r="E3" s="2"/>
    </row>
    <row r="5" customFormat="false" ht="15" hidden="false" customHeight="false" outlineLevel="0" collapsed="false">
      <c r="A5" s="5" t="s">
        <v>3</v>
      </c>
      <c r="B5" s="6" t="s">
        <v>4</v>
      </c>
      <c r="C5" s="7" t="s">
        <v>5</v>
      </c>
      <c r="D5" s="8" t="s">
        <v>6</v>
      </c>
    </row>
    <row r="7" customFormat="false" ht="15" hidden="false" customHeight="false" outlineLevel="0" collapsed="false">
      <c r="A7" s="10" t="s">
        <v>81</v>
      </c>
      <c r="B7" s="10"/>
      <c r="C7" s="6" t="s">
        <v>39</v>
      </c>
      <c r="D7" s="22" t="s">
        <v>82</v>
      </c>
    </row>
    <row r="8" customFormat="false" ht="15" hidden="false" customHeight="false" outlineLevel="0" collapsed="false">
      <c r="A8" s="10" t="s">
        <v>83</v>
      </c>
      <c r="B8" s="10"/>
      <c r="C8" s="25" t="n">
        <v>46300</v>
      </c>
    </row>
    <row r="10" customFormat="false" ht="33.75" hidden="false" customHeight="true" outlineLevel="0" collapsed="false">
      <c r="A10" s="15" t="s">
        <v>84</v>
      </c>
      <c r="B10" s="15" t="s">
        <v>85</v>
      </c>
      <c r="C10" s="15" t="s">
        <v>86</v>
      </c>
      <c r="D10" s="15" t="s">
        <v>87</v>
      </c>
      <c r="E10" s="15" t="s">
        <v>88</v>
      </c>
    </row>
    <row r="11" customFormat="false" ht="30" hidden="false" customHeight="true" outlineLevel="0" collapsed="false">
      <c r="A11" s="27" t="s">
        <v>89</v>
      </c>
      <c r="B11" s="28" t="s">
        <v>90</v>
      </c>
      <c r="C11" s="29" t="s">
        <v>91</v>
      </c>
      <c r="D11" s="30" t="n">
        <f aca="false">IF($C$8="","",$C$8+0)</f>
        <v>46300</v>
      </c>
      <c r="E11" s="31" t="s">
        <v>92</v>
      </c>
    </row>
    <row r="12" customFormat="false" ht="30" hidden="false" customHeight="true" outlineLevel="0" collapsed="false">
      <c r="A12" s="27" t="s">
        <v>89</v>
      </c>
      <c r="B12" s="28" t="s">
        <v>93</v>
      </c>
      <c r="C12" s="29" t="s">
        <v>91</v>
      </c>
      <c r="D12" s="30" t="n">
        <f aca="false">IF($C$8="","",$C$8+0)</f>
        <v>46300</v>
      </c>
      <c r="E12" s="31" t="s">
        <v>94</v>
      </c>
    </row>
    <row r="13" customFormat="false" ht="30" hidden="false" customHeight="true" outlineLevel="0" collapsed="false">
      <c r="A13" s="27" t="s">
        <v>89</v>
      </c>
      <c r="B13" s="28" t="s">
        <v>95</v>
      </c>
      <c r="C13" s="29" t="s">
        <v>91</v>
      </c>
      <c r="D13" s="30" t="n">
        <f aca="false">IF($C$8="","",$C$8+0)</f>
        <v>46300</v>
      </c>
      <c r="E13" s="31" t="s">
        <v>96</v>
      </c>
    </row>
    <row r="14" customFormat="false" ht="30" hidden="false" customHeight="true" outlineLevel="0" collapsed="false">
      <c r="A14" s="27" t="s">
        <v>89</v>
      </c>
      <c r="B14" s="28" t="s">
        <v>97</v>
      </c>
      <c r="C14" s="29" t="s">
        <v>91</v>
      </c>
      <c r="D14" s="30" t="n">
        <f aca="false">IF($C$8="","",$C$8+0)</f>
        <v>46300</v>
      </c>
      <c r="E14" s="31" t="s">
        <v>98</v>
      </c>
    </row>
    <row r="15" customFormat="false" ht="30" hidden="false" customHeight="true" outlineLevel="0" collapsed="false">
      <c r="A15" s="27" t="s">
        <v>89</v>
      </c>
      <c r="B15" s="28" t="s">
        <v>99</v>
      </c>
      <c r="C15" s="29" t="s">
        <v>91</v>
      </c>
      <c r="D15" s="30" t="n">
        <f aca="false">IF($C$8="","",$C$8+0)</f>
        <v>46300</v>
      </c>
      <c r="E15" s="31" t="s">
        <v>100</v>
      </c>
    </row>
    <row r="16" customFormat="false" ht="30" hidden="false" customHeight="true" outlineLevel="0" collapsed="false">
      <c r="A16" s="27" t="s">
        <v>101</v>
      </c>
      <c r="B16" s="28" t="s">
        <v>102</v>
      </c>
      <c r="C16" s="29" t="s">
        <v>91</v>
      </c>
      <c r="D16" s="30" t="n">
        <f aca="false">IF($C$8="","",$C$8+1)</f>
        <v>46301</v>
      </c>
      <c r="E16" s="31" t="s">
        <v>103</v>
      </c>
    </row>
    <row r="17" customFormat="false" ht="30" hidden="false" customHeight="true" outlineLevel="0" collapsed="false">
      <c r="A17" s="27" t="s">
        <v>101</v>
      </c>
      <c r="B17" s="28" t="s">
        <v>104</v>
      </c>
      <c r="C17" s="29" t="s">
        <v>91</v>
      </c>
      <c r="D17" s="30" t="n">
        <f aca="false">IF($C$8="","",$C$8+1)</f>
        <v>46301</v>
      </c>
      <c r="E17" s="31" t="s">
        <v>105</v>
      </c>
    </row>
    <row r="18" customFormat="false" ht="30" hidden="false" customHeight="true" outlineLevel="0" collapsed="false">
      <c r="A18" s="27" t="s">
        <v>101</v>
      </c>
      <c r="B18" s="28" t="s">
        <v>106</v>
      </c>
      <c r="C18" s="29" t="s">
        <v>91</v>
      </c>
      <c r="D18" s="30" t="n">
        <f aca="false">IF($C$8="","",$C$8+1)</f>
        <v>46301</v>
      </c>
      <c r="E18" s="31" t="s">
        <v>107</v>
      </c>
    </row>
    <row r="19" customFormat="false" ht="30" hidden="false" customHeight="true" outlineLevel="0" collapsed="false">
      <c r="A19" s="27" t="s">
        <v>108</v>
      </c>
      <c r="B19" s="28" t="s">
        <v>109</v>
      </c>
      <c r="C19" s="29" t="s">
        <v>91</v>
      </c>
      <c r="D19" s="30" t="n">
        <f aca="false">IF($C$8="","",$C$8+2)</f>
        <v>46302</v>
      </c>
      <c r="E19" s="31" t="s">
        <v>110</v>
      </c>
    </row>
    <row r="20" customFormat="false" ht="30" hidden="false" customHeight="true" outlineLevel="0" collapsed="false">
      <c r="A20" s="27" t="s">
        <v>108</v>
      </c>
      <c r="B20" s="28" t="s">
        <v>111</v>
      </c>
      <c r="C20" s="29" t="s">
        <v>91</v>
      </c>
      <c r="D20" s="30" t="n">
        <f aca="false">IF($C$8="","",$C$8+2)</f>
        <v>46302</v>
      </c>
      <c r="E20" s="31" t="s">
        <v>112</v>
      </c>
    </row>
    <row r="21" customFormat="false" ht="30" hidden="false" customHeight="true" outlineLevel="0" collapsed="false">
      <c r="A21" s="27" t="s">
        <v>108</v>
      </c>
      <c r="B21" s="28" t="s">
        <v>113</v>
      </c>
      <c r="C21" s="29" t="s">
        <v>91</v>
      </c>
      <c r="D21" s="30" t="n">
        <f aca="false">IF($C$8="","",$C$8+2)</f>
        <v>46302</v>
      </c>
      <c r="E21" s="31" t="s">
        <v>114</v>
      </c>
    </row>
    <row r="22" customFormat="false" ht="30" hidden="false" customHeight="true" outlineLevel="0" collapsed="false">
      <c r="A22" s="27" t="s">
        <v>108</v>
      </c>
      <c r="B22" s="28" t="s">
        <v>115</v>
      </c>
      <c r="C22" s="29" t="s">
        <v>91</v>
      </c>
      <c r="D22" s="30" t="n">
        <f aca="false">IF($C$8="","",$C$8+2)</f>
        <v>46302</v>
      </c>
      <c r="E22" s="31" t="s">
        <v>116</v>
      </c>
    </row>
    <row r="24" customFormat="false" ht="15" hidden="false" customHeight="false" outlineLevel="0" collapsed="false">
      <c r="A24" s="9" t="s">
        <v>117</v>
      </c>
    </row>
    <row r="25" customFormat="false" ht="15" hidden="false" customHeight="false" outlineLevel="0" collapsed="false">
      <c r="A25" s="10" t="s">
        <v>118</v>
      </c>
      <c r="B25" s="10"/>
      <c r="C25" s="32" t="str">
        <f aca="false">COUNTIF(C11:C22,"Sim")&amp;" de 12"</f>
        <v>0 de 12</v>
      </c>
    </row>
    <row r="26" customFormat="false" ht="15" hidden="false" customHeight="false" outlineLevel="0" collapsed="false">
      <c r="A26" s="10" t="s">
        <v>89</v>
      </c>
      <c r="B26" s="10"/>
      <c r="C26" s="32" t="str">
        <f aca="false">COUNTIF(C11:C15,"Sim")&amp;" de 5"</f>
        <v>0 de 5</v>
      </c>
    </row>
    <row r="27" customFormat="false" ht="15" hidden="false" customHeight="false" outlineLevel="0" collapsed="false">
      <c r="A27" s="10" t="s">
        <v>101</v>
      </c>
      <c r="B27" s="10"/>
      <c r="C27" s="32" t="str">
        <f aca="false">COUNTIF(C16:C18,"Sim")&amp;" de 3"</f>
        <v>0 de 3</v>
      </c>
    </row>
    <row r="28" customFormat="false" ht="15" hidden="false" customHeight="false" outlineLevel="0" collapsed="false">
      <c r="A28" s="10" t="s">
        <v>108</v>
      </c>
      <c r="B28" s="10"/>
      <c r="C28" s="32" t="str">
        <f aca="false">COUNTIF(C19:C22,"Sim")&amp;" de 4"</f>
        <v>0 de 4</v>
      </c>
    </row>
    <row r="29" customFormat="false" ht="15" hidden="false" customHeight="false" outlineLevel="0" collapsed="false">
      <c r="A29" s="10" t="s">
        <v>119</v>
      </c>
      <c r="B29" s="10"/>
      <c r="C29" s="33" t="n">
        <f aca="false">'20 Alvos'!C9</f>
        <v>1</v>
      </c>
    </row>
    <row r="30" customFormat="false" ht="15" hidden="false" customHeight="false" outlineLevel="0" collapsed="false">
      <c r="A30" s="10" t="s">
        <v>120</v>
      </c>
      <c r="B30" s="10"/>
      <c r="C30" s="33" t="n">
        <f aca="false">'20 Alvos'!C10</f>
        <v>1</v>
      </c>
    </row>
    <row r="32" customFormat="false" ht="25.5" hidden="false" customHeight="true" outlineLevel="0" collapsed="false">
      <c r="A32" s="34" t="s">
        <v>121</v>
      </c>
      <c r="B32" s="34"/>
      <c r="C32" s="32" t="str">
        <f aca="false">IF(C30&gt;=3,"CUMPRIDA: três propostas na mão","Faltam "&amp;(3-C30)&amp;" propostas na mão")</f>
        <v>Faltam 2 propostas na mão</v>
      </c>
      <c r="D32" s="32"/>
      <c r="E32" s="32"/>
    </row>
    <row r="34" customFormat="false" ht="15" hidden="false" customHeight="false" outlineLevel="0" collapsed="false">
      <c r="A34" s="9" t="s">
        <v>122</v>
      </c>
    </row>
    <row r="35" customFormat="false" ht="33.75" hidden="false" customHeight="true" outlineLevel="0" collapsed="false">
      <c r="A35" s="15" t="s">
        <v>123</v>
      </c>
      <c r="B35" s="15"/>
      <c r="C35" s="15" t="s">
        <v>124</v>
      </c>
      <c r="D35" s="15" t="s">
        <v>125</v>
      </c>
    </row>
    <row r="36" customFormat="false" ht="15" hidden="false" customHeight="false" outlineLevel="0" collapsed="false">
      <c r="A36" s="10" t="s">
        <v>126</v>
      </c>
      <c r="B36" s="10"/>
      <c r="C36" s="35" t="n">
        <v>10</v>
      </c>
      <c r="D36" s="33" t="n">
        <f aca="false">'20 Alvos'!C9</f>
        <v>1</v>
      </c>
    </row>
    <row r="37" customFormat="false" ht="15" hidden="false" customHeight="false" outlineLevel="0" collapsed="false">
      <c r="A37" s="10" t="s">
        <v>51</v>
      </c>
      <c r="B37" s="10"/>
      <c r="C37" s="35" t="n">
        <v>3</v>
      </c>
      <c r="D37" s="33" t="n">
        <f aca="false">'20 Alvos'!C10</f>
        <v>1</v>
      </c>
    </row>
    <row r="38" customFormat="false" ht="15" hidden="false" customHeight="false" outlineLevel="0" collapsed="false">
      <c r="A38" s="10" t="s">
        <v>127</v>
      </c>
      <c r="B38" s="10"/>
      <c r="C38" s="35" t="n">
        <v>1</v>
      </c>
      <c r="D38" s="33" t="n">
        <f aca="false">'20 Alvos'!F8</f>
        <v>0</v>
      </c>
    </row>
    <row r="40" customFormat="false" ht="15" hidden="false" customHeight="false" outlineLevel="0" collapsed="false">
      <c r="A40" s="22" t="s">
        <v>128</v>
      </c>
    </row>
    <row r="41" customFormat="false" ht="15" hidden="false" customHeight="false" outlineLevel="0" collapsed="false">
      <c r="A41" s="22" t="s">
        <v>129</v>
      </c>
    </row>
    <row r="42" customFormat="false" ht="15" hidden="false" customHeight="false" outlineLevel="0" collapsed="false">
      <c r="A42" s="22" t="s">
        <v>130</v>
      </c>
    </row>
  </sheetData>
  <mergeCells count="14">
    <mergeCell ref="A7:B7"/>
    <mergeCell ref="A8:B8"/>
    <mergeCell ref="A25:B25"/>
    <mergeCell ref="A26:B26"/>
    <mergeCell ref="A27:B27"/>
    <mergeCell ref="A28:B28"/>
    <mergeCell ref="A29:B29"/>
    <mergeCell ref="A30:B30"/>
    <mergeCell ref="A32:B32"/>
    <mergeCell ref="C32:E32"/>
    <mergeCell ref="A35:B35"/>
    <mergeCell ref="A36:B36"/>
    <mergeCell ref="A37:B37"/>
    <mergeCell ref="A38:B38"/>
  </mergeCells>
  <conditionalFormatting sqref="C11:C22">
    <cfRule type="cellIs" priority="2" operator="equal" aboveAverage="0" equalAverage="0" bottom="0" percent="0" rank="0" text="" dxfId="5">
      <formula>"Sim"</formula>
    </cfRule>
  </conditionalFormatting>
  <conditionalFormatting sqref="C32">
    <cfRule type="expression" priority="3" aboveAverage="0" equalAverage="0" bottom="0" percent="0" rank="0" text="" dxfId="6">
      <formula>$C$30&gt;=3</formula>
    </cfRule>
    <cfRule type="expression" priority="4" aboveAverage="0" equalAverage="0" bottom="0" percent="0" rank="0" text="" dxfId="7">
      <formula>$C$30&lt;3</formula>
    </cfRule>
  </conditionalFormatting>
  <dataValidations count="2">
    <dataValidation allowBlank="false" errorStyle="stop" operator="between" showDropDown="false" showErrorMessage="false" showInputMessage="false" sqref="C7" type="list">
      <formula1>"G-01,G-02,G-03,G-04,G-05,G-06,G-07,G-08,G-09,G-10"</formula1>
      <formula2>0</formula2>
    </dataValidation>
    <dataValidation allowBlank="false" errorStyle="stop" operator="between" showDropDown="false" showErrorMessage="false" showInputMessage="false" sqref="C11:C22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2026-09-26T05:16:20Z</dcterms:created>
  <dc:creator>openpyxl</dc:creator>
  <dc:description/>
  <dc:language>en-US</dc:language>
  <cp:lastModifiedBy/>
  <dcterms:modified xsi:type="dcterms:W3CDTF">2026-09-26T05:16:20Z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