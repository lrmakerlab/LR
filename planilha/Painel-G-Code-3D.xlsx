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Seletor" sheetId="2" state="visible" r:id="rId4"/>
    <sheet name="Painel" sheetId="3" state="visible" r:id="rId5"/>
    <sheet name="Missão 72h" sheetId="4" state="visible" r:id="rId6"/>
    <sheet name="Alvos" sheetId="5" state="visible" r:id="rId7"/>
    <sheet name="Calculadora" sheetId="6" state="visible" r:id="rId8"/>
    <sheet name="Resultados" sheetId="7" state="visible" r:id="rId9"/>
    <sheet name="Expansão" sheetId="8" state="visible" r:id="rId10"/>
    <sheet name="Bibliotec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<sst xmlns="http://schemas.openxmlformats.org/spreadsheetml/2006/main" count="468" uniqueCount="364">
  <si>
    <t xml:space="preserve">LR MAKER LAB · PAINEL G-CODE 3D</t>
  </si>
  <si>
    <t xml:space="preserve">Comece aqui</t>
  </si>
  <si>
    <t xml:space="preserve">O manual diz o que fazer. Este painel mostra se você está fazendo.</t>
  </si>
  <si>
    <t xml:space="preserve">1</t>
  </si>
  <si>
    <t xml:space="preserve">Descubra o seu G-Code</t>
  </si>
  <si>
    <t xml:space="preserve">Abrir Seletor →</t>
  </si>
  <si>
    <t xml:space="preserve">Responda as três perguntas na aba Seletor. Ele indica um G-Code só, e o Painel já recebe o resultado. Os outros nove ficam na biblioteca, para depois da primeira venda.</t>
  </si>
  <si>
    <t xml:space="preserve">2</t>
  </si>
  <si>
    <t xml:space="preserve">Abra o Painel e marque o Dia 1</t>
  </si>
  <si>
    <t xml:space="preserve">Abrir Painel →</t>
  </si>
  <si>
    <t xml:space="preserve">O Painel já vem com o seu G-Code. Marque a data do Dia 1 e todas as abas se ajustam: datas, kit, horário de visita e metas.</t>
  </si>
  <si>
    <t xml:space="preserve">3</t>
  </si>
  <si>
    <t xml:space="preserve">Faça a Missão 72h</t>
  </si>
  <si>
    <t xml:space="preserve">Abrir Missão 72h →</t>
  </si>
  <si>
    <t xml:space="preserve">Dia 1 preparar, Dia 2 rua, Dia 3 fechar. Marque "Sim" em cada ação feita. O Painel mostra sempre a próxima.</t>
  </si>
  <si>
    <t xml:space="preserve">4</t>
  </si>
  <si>
    <t xml:space="preserve">Registre tudo</t>
  </si>
  <si>
    <t xml:space="preserve">Abrir Alvos →</t>
  </si>
  <si>
    <t xml:space="preserve">Visitas e propostas na aba Alvos, no carro, logo depois de cada visita. Vendas na aba Resultados, com as horas de máquina.</t>
  </si>
  <si>
    <t xml:space="preserve">5</t>
  </si>
  <si>
    <t xml:space="preserve">Expanda no cliente</t>
  </si>
  <si>
    <t xml:space="preserve">Abrir Expansão →</t>
  </si>
  <si>
    <t xml:space="preserve">Na entrega do primeiro pedido, faça as três perguntas da seção 11 e anote na aba Expansão. Meta: três oportunidades por cliente.</t>
  </si>
  <si>
    <t xml:space="preserve">A REGRA DESTE PAINEL</t>
  </si>
  <si>
    <t xml:space="preserve">Missão cumprida é três propostas entregues na mão de um comerciante. A venda depende de quem decide do outro lado do balcão, e por isso não é a meta da missão: é o que vem depois de visitas bem feitas e follow-up no prazo.</t>
  </si>
  <si>
    <t xml:space="preserve">AS CORES</t>
  </si>
  <si>
    <t xml:space="preserve">Aa</t>
  </si>
  <si>
    <t xml:space="preserve">Você preenche</t>
  </si>
  <si>
    <t xml:space="preserve">Calculado sozinho, não mexa</t>
  </si>
  <si>
    <t xml:space="preserve">Pronto, ou para hoje</t>
  </si>
  <si>
    <t xml:space="preserve">Atenção: atrasado ou abaixo do piso</t>
  </si>
  <si>
    <t xml:space="preserve">AS ABAS</t>
  </si>
  <si>
    <t xml:space="preserve">Seletor</t>
  </si>
  <si>
    <t xml:space="preserve">as três perguntas que indicam o seu G-Code</t>
  </si>
  <si>
    <t xml:space="preserve">Painel</t>
  </si>
  <si>
    <t xml:space="preserve">onde você está, a próxima ação e a decisão da semana 2</t>
  </si>
  <si>
    <t xml:space="preserve">Missão 72h</t>
  </si>
  <si>
    <t xml:space="preserve">as ações dos três dias e da semana 2, com data</t>
  </si>
  <si>
    <t xml:space="preserve">Alvos</t>
  </si>
  <si>
    <t xml:space="preserve">seus comércios, da lista até a proposta na mão</t>
  </si>
  <si>
    <t xml:space="preserve">Calculadora</t>
  </si>
  <si>
    <t xml:space="preserve">a conta do preço antes de responder um orçamento</t>
  </si>
  <si>
    <t xml:space="preserve">Resultados</t>
  </si>
  <si>
    <t xml:space="preserve">cada venda, com lucro e retorno por hora de verdade</t>
  </si>
  <si>
    <t xml:space="preserve">Expansão</t>
  </si>
  <si>
    <t xml:space="preserve">as oportunidades dentro de quem já comprou</t>
  </si>
  <si>
    <t xml:space="preserve">Biblioteca</t>
  </si>
  <si>
    <t xml:space="preserve">os dados dos 10 G-Codes que alimentam o Painel</t>
  </si>
  <si>
    <t xml:space="preserve">Três perguntas. Um G-Code. Responda com a sua realidade de hoje, não com a que você quer ter.</t>
  </si>
  <si>
    <t xml:space="preserve">Ir para o Painel →</t>
  </si>
  <si>
    <t xml:space="preserve">AS TRÊS PERGUNTAS</t>
  </si>
  <si>
    <t xml:space="preserve">Quanto tempo de máquina livre você tem por dia?</t>
  </si>
  <si>
    <t xml:space="preserve">Horas em que a impressora pode rodar pedido seu, contando a noite.</t>
  </si>
  <si>
    <t xml:space="preserve">Você já modela em CAD?</t>
  </si>
  <si>
    <t xml:space="preserve">Modelar é desenhar peça com medida, furo e encaixe. Baixar um STL e editar o texto não conta.</t>
  </si>
  <si>
    <t xml:space="preserve">Prefere vender para quem revende ou para quem usa?</t>
  </si>
  <si>
    <t xml:space="preserve">Quem revende compra de novo quando vende. Quem usa compra quando precisa.</t>
  </si>
  <si>
    <t xml:space="preserve">SEU G-CODE</t>
  </si>
  <si>
    <t xml:space="preserve">TICKET DO 1º PEDIDO</t>
  </si>
  <si>
    <t xml:space="preserve">RETORNO POR HORA</t>
  </si>
  <si>
    <t xml:space="preserve">QUANDO VISITAR</t>
  </si>
  <si>
    <t xml:space="preserve">HOJE À NOITE</t>
  </si>
  <si>
    <t xml:space="preserve">Abrir a Missão 72h →</t>
  </si>
  <si>
    <t xml:space="preserve">O Painel recebe este resultado sozinho.</t>
  </si>
  <si>
    <t xml:space="preserve">OS SEIS RESULTADOS POSSÍVEIS</t>
  </si>
  <si>
    <t xml:space="preserve">G-01</t>
  </si>
  <si>
    <t xml:space="preserve">Confeitarias</t>
  </si>
  <si>
    <t xml:space="preserve">Menos de 3h de máquina, sem CAD, vende para quem usa</t>
  </si>
  <si>
    <t xml:space="preserve">G-03</t>
  </si>
  <si>
    <t xml:space="preserve">Pet shops</t>
  </si>
  <si>
    <t xml:space="preserve">Menos de 3h de máquina, vende para quem revende</t>
  </si>
  <si>
    <t xml:space="preserve">G-04</t>
  </si>
  <si>
    <t xml:space="preserve">Restaurantes, cafés e bares</t>
  </si>
  <si>
    <t xml:space="preserve">De 3h a 8h de máquina, sem CAD, vende para quem usa</t>
  </si>
  <si>
    <t xml:space="preserve">G-09</t>
  </si>
  <si>
    <t xml:space="preserve">Papelarias e festa</t>
  </si>
  <si>
    <t xml:space="preserve">De 3h a 8h de máquina, vende para quem revende</t>
  </si>
  <si>
    <t xml:space="preserve">G-07</t>
  </si>
  <si>
    <t xml:space="preserve">Academias</t>
  </si>
  <si>
    <t xml:space="preserve">Mais de 8h de máquina por dia</t>
  </si>
  <si>
    <t xml:space="preserve">G-10</t>
  </si>
  <si>
    <t xml:space="preserve">Oficinas</t>
  </si>
  <si>
    <t xml:space="preserve">Você já modela peça com encaixe em CAD</t>
  </si>
  <si>
    <t xml:space="preserve">E os outros quatro? G-02 Nail, G-05 Semijoias, G-06 Lojas de celular e G-08 Imobiliárias ficam na biblioteca. Abra um deles depois da primeira venda, nunca antes. Todo G-Code é venda no balcão: todos pedem visitar o comércio.</t>
  </si>
  <si>
    <t xml:space="preserve">Onde você está, o que fazer hoje e o que os seus números dizem.</t>
  </si>
  <si>
    <t xml:space="preserve">← Seletor</t>
  </si>
  <si>
    <t xml:space="preserve">Missão 72h →</t>
  </si>
  <si>
    <t xml:space="preserve">Seu G-Code (vem do Seletor)</t>
  </si>
  <si>
    <t xml:space="preserve">Dia 1 da missão</t>
  </si>
  <si>
    <t xml:space="preserve">Trocar manualmente (opcional)</t>
  </si>
  <si>
    <t xml:space="preserve">↺ Refazer o Seletor</t>
  </si>
  <si>
    <t xml:space="preserve">DIA DA MISSÃO</t>
  </si>
  <si>
    <t xml:space="preserve">MISSÃO 72H CONCLUÍDA</t>
  </si>
  <si>
    <t xml:space="preserve">PROPOSTAS NA MÃO</t>
  </si>
  <si>
    <t xml:space="preserve">ONDE VOCÊ ESTÁ</t>
  </si>
  <si>
    <t xml:space="preserve">72 horas: preparar, rua, fechar</t>
  </si>
  <si>
    <t xml:space="preserve">a promessa do G-Code 3D</t>
  </si>
  <si>
    <t xml:space="preserve">Preparando → Na rua → Propostas → Vendendo → Expandindo</t>
  </si>
  <si>
    <t xml:space="preserve">PRÓXIMA AÇÃO</t>
  </si>
  <si>
    <t xml:space="preserve">A primeira ação da Missão 72h que ainda está como "Não". Marque "Sim" na aba Missão 72h quando fizer.</t>
  </si>
  <si>
    <t xml:space="preserve">FUNIL DO SEU G-CODE</t>
  </si>
  <si>
    <t xml:space="preserve">SEU G-CODE EM UMA OLHADA</t>
  </si>
  <si>
    <t xml:space="preserve">Etapa</t>
  </si>
  <si>
    <t xml:space="preserve">Feito</t>
  </si>
  <si>
    <t xml:space="preserve">Meta</t>
  </si>
  <si>
    <t xml:space="preserve">Progresso</t>
  </si>
  <si>
    <t xml:space="preserve">Nível</t>
  </si>
  <si>
    <t xml:space="preserve">Alvos listados</t>
  </si>
  <si>
    <t xml:space="preserve">Ticket do 1º pedido</t>
  </si>
  <si>
    <t xml:space="preserve">Visitados</t>
  </si>
  <si>
    <t xml:space="preserve">Retorno por hora</t>
  </si>
  <si>
    <t xml:space="preserve">Amostras deixadas</t>
  </si>
  <si>
    <t xml:space="preserve">Quando visitar</t>
  </si>
  <si>
    <t xml:space="preserve">Propostas na mão</t>
  </si>
  <si>
    <t xml:space="preserve">Kit de amostra</t>
  </si>
  <si>
    <t xml:space="preserve">Fecharam</t>
  </si>
  <si>
    <t xml:space="preserve">Número honesto</t>
  </si>
  <si>
    <t xml:space="preserve">Referência de Fecharam: 1 venda a cada 10 visitas é o número honesto dos manuais. É expectativa, não promessa: a venda depende de quem decide do outro lado do balcão.</t>
  </si>
  <si>
    <t xml:space="preserve">Manual</t>
  </si>
  <si>
    <t xml:space="preserve">RESULTADOS · da aba Resultados</t>
  </si>
  <si>
    <t xml:space="preserve">VENDAS</t>
  </si>
  <si>
    <t xml:space="preserve">FATURAMENTO</t>
  </si>
  <si>
    <t xml:space="preserve">LUCRO</t>
  </si>
  <si>
    <t xml:space="preserve">LUCRO POR HORA DE MÁQUINA</t>
  </si>
  <si>
    <t xml:space="preserve">EXPANSÃO · da aba Expansão</t>
  </si>
  <si>
    <t xml:space="preserve">OPORTUNIDADES ANOTADAS</t>
  </si>
  <si>
    <t xml:space="preserve">OPORTUNIDADES FECHADAS</t>
  </si>
  <si>
    <t xml:space="preserve">Meta: três oportunidades por cliente atendido. Faça as três perguntas da seção 11 na entrega de todo pedido.</t>
  </si>
  <si>
    <t xml:space="preserve">DECISÃO DA SEMANA 2</t>
  </si>
  <si>
    <t xml:space="preserve">Todo número deste painel é hipótese a validar com a sua impressora, o seu filamento e a sua região. LR Maker Lab · G-Code 3D · uso pessoal do comprador.</t>
  </si>
  <si>
    <t xml:space="preserve">Missão 72 horas</t>
  </si>
  <si>
    <t xml:space="preserve">Em 72 horas, você sai da impressora parada para três propostas entregues na mão de um comerciante.</t>
  </si>
  <si>
    <t xml:space="preserve">Quando</t>
  </si>
  <si>
    <t xml:space="preserve">O que fazer</t>
  </si>
  <si>
    <t xml:space="preserve">Como saber que está feito</t>
  </si>
  <si>
    <t xml:space="preserve">Os números dizem</t>
  </si>
  <si>
    <t xml:space="preserve">Feito?</t>
  </si>
  <si>
    <t xml:space="preserve">Situação</t>
  </si>
  <si>
    <t xml:space="preserve">DIA 1 · PREPARAR</t>
  </si>
  <si>
    <t xml:space="preserve">Kit conferido, sem defeito, seção 06 do manual</t>
  </si>
  <si>
    <t xml:space="preserve">Não</t>
  </si>
  <si>
    <t xml:space="preserve">Três propostas impressas, com preço em cada nível</t>
  </si>
  <si>
    <t xml:space="preserve">20 linhas na aba Alvos</t>
  </si>
  <si>
    <t xml:space="preserve">Você fala em voz alta sem ler</t>
  </si>
  <si>
    <t xml:space="preserve">DIA 2 · RUA</t>
  </si>
  <si>
    <t xml:space="preserve">10 datas de visita na aba Alvos</t>
  </si>
  <si>
    <t xml:space="preserve">3 datas em Proposta entregue</t>
  </si>
  <si>
    <t xml:space="preserve">Coluna Objeção preenchida</t>
  </si>
  <si>
    <t xml:space="preserve">DIA 3 · FECHAR</t>
  </si>
  <si>
    <t xml:space="preserve">Status Follow-up 48h feito</t>
  </si>
  <si>
    <t xml:space="preserve">Nenhuma visita só no papel</t>
  </si>
  <si>
    <t xml:space="preserve">Coluna Oportunidade ouvida</t>
  </si>
  <si>
    <t xml:space="preserve">Data escrita na agenda</t>
  </si>
  <si>
    <t xml:space="preserve">SEMANA 2 · CONTINUAR</t>
  </si>
  <si>
    <t xml:space="preserve">Próximo contato em dia na aba Alvos</t>
  </si>
  <si>
    <t xml:space="preserve">20 visitas no total</t>
  </si>
  <si>
    <t xml:space="preserve">Venda registrada na aba Resultados</t>
  </si>
  <si>
    <t xml:space="preserve">Linhas na aba Expansão</t>
  </si>
  <si>
    <t xml:space="preserve">DECISÃO DA SEMANA 2 · o Painel lê os seus números</t>
  </si>
  <si>
    <t xml:space="preserve">ESCALAR</t>
  </si>
  <si>
    <t xml:space="preserve">AJUSTAR</t>
  </si>
  <si>
    <t xml:space="preserve">TROCAR</t>
  </si>
  <si>
    <t xml:space="preserve">Houve venda: repita no mesmo bairro.</t>
  </si>
  <si>
    <t xml:space="preserve">Propostas na mão ou visitas sem proposta: ajuste antes de trocar.</t>
  </si>
  <si>
    <t xml:space="preserve">Só depois de 20 visitas sem nenhuma proposta.</t>
  </si>
  <si>
    <t xml:space="preserve">Seus comércios, da lista até a proposta na mão. Preencha no carro, logo depois de cada visita.</t>
  </si>
  <si>
    <t xml:space="preserve">Resumo do G-Code escolhido no Painel</t>
  </si>
  <si>
    <t xml:space="preserve">ALVOS LISTADOS</t>
  </si>
  <si>
    <t xml:space="preserve">VISITADOS</t>
  </si>
  <si>
    <t xml:space="preserve">AMOSTRAS DEIXADAS</t>
  </si>
  <si>
    <t xml:space="preserve">FECHARAM</t>
  </si>
  <si>
    <t xml:space="preserve">CONTATOS PARA HOJE</t>
  </si>
  <si>
    <t xml:space="preserve">meta: 20</t>
  </si>
  <si>
    <t xml:space="preserve">meta: 10</t>
  </si>
  <si>
    <t xml:space="preserve">nas mãos certas</t>
  </si>
  <si>
    <t xml:space="preserve">meta: 3</t>
  </si>
  <si>
    <t xml:space="preserve">referência: 1</t>
  </si>
  <si>
    <t xml:space="preserve">ou atrasados</t>
  </si>
  <si>
    <t xml:space="preserve">G-Code em branco conta para o G-Code do Painel. Status: A visitar → Visitado → Amostra deixada → Proposta entregue → Follow-up 48h → 7 dias → Fechou ou Não agora. O Próximo contato é calculado sozinho e fica verde no dia.</t>
  </si>
  <si>
    <t xml:space="preserve">#</t>
  </si>
  <si>
    <t xml:space="preserve">G-Code</t>
  </si>
  <si>
    <t xml:space="preserve">Comércio</t>
  </si>
  <si>
    <t xml:space="preserve">Bairro</t>
  </si>
  <si>
    <t xml:space="preserve">Quem decide</t>
  </si>
  <si>
    <t xml:space="preserve">WhatsApp ou Instagram</t>
  </si>
  <si>
    <t xml:space="preserve">Nota no Google</t>
  </si>
  <si>
    <t xml:space="preserve">Data da visita</t>
  </si>
  <si>
    <t xml:space="preserve">Deixou amostra?</t>
  </si>
  <si>
    <t xml:space="preserve">Proposta entregue em</t>
  </si>
  <si>
    <t xml:space="preserve">Valor proposto</t>
  </si>
  <si>
    <t xml:space="preserve">Status</t>
  </si>
  <si>
    <t xml:space="preserve">Objeção, nas palavras exatas</t>
  </si>
  <si>
    <t xml:space="preserve">Volto em</t>
  </si>
  <si>
    <t xml:space="preserve">Próximo contato</t>
  </si>
  <si>
    <t xml:space="preserve">Oportunidade ouvida</t>
  </si>
  <si>
    <t xml:space="preserve">Exemplo · apague</t>
  </si>
  <si>
    <t xml:space="preserve">Confeitaria Doce Ana</t>
  </si>
  <si>
    <t xml:space="preserve">Centro</t>
  </si>
  <si>
    <t xml:space="preserve">Ana, a dona</t>
  </si>
  <si>
    <t xml:space="preserve">@doceana</t>
  </si>
  <si>
    <t xml:space="preserve">Sim</t>
  </si>
  <si>
    <t xml:space="preserve">Proposta entregue</t>
  </si>
  <si>
    <t xml:space="preserve">Vou ver com meu marido.</t>
  </si>
  <si>
    <t xml:space="preserve">Porta-cartão com QR do Pix</t>
  </si>
  <si>
    <t xml:space="preserve">Faça a conta antes de responder qualquer orçamento: custo real, piso, preço sugerido e retorno por hora.</t>
  </si>
  <si>
    <t xml:space="preserve">Seus números · preencha uma vez</t>
  </si>
  <si>
    <t xml:space="preserve">Preço do filamento</t>
  </si>
  <si>
    <t xml:space="preserve">por kg. Troque pelo que você paga.</t>
  </si>
  <si>
    <t xml:space="preserve">Perda e falhas</t>
  </si>
  <si>
    <t xml:space="preserve">sobre o filamento: purga, suporte e peça perdida. Mesmo valor dos manuais.</t>
  </si>
  <si>
    <t xml:space="preserve">Potência média da impressora</t>
  </si>
  <si>
    <t xml:space="preserve">veja na etiqueta da fonte.</t>
  </si>
  <si>
    <t xml:space="preserve">Tarifa de energia</t>
  </si>
  <si>
    <t xml:space="preserve">por kWh, com impostos. Veja na conta de luz.</t>
  </si>
  <si>
    <t xml:space="preserve">Piso por hora de máquina</t>
  </si>
  <si>
    <t xml:space="preserve">regra do G-Code 3D: nenhum pedido abaixo disso.</t>
  </si>
  <si>
    <t xml:space="preserve">Sua meta por hora</t>
  </si>
  <si>
    <t xml:space="preserve">quanto você quer ganhar por hora de máquina. Define o preço sugerido.</t>
  </si>
  <si>
    <t xml:space="preserve">Simule um pedido</t>
  </si>
  <si>
    <t xml:space="preserve">O que é o pedido</t>
  </si>
  <si>
    <t xml:space="preserve">10 suportes de mesa</t>
  </si>
  <si>
    <t xml:space="preserve">Filamento com perda</t>
  </si>
  <si>
    <t xml:space="preserve">Filamento do pedido inteiro</t>
  </si>
  <si>
    <t xml:space="preserve">Energia</t>
  </si>
  <si>
    <t xml:space="preserve">Horas de máquina do pedido</t>
  </si>
  <si>
    <t xml:space="preserve">Custo real</t>
  </si>
  <si>
    <t xml:space="preserve">Extras: embalagem, argola, ímã, adesivo</t>
  </si>
  <si>
    <t xml:space="preserve">Piso (custo + horas × piso)</t>
  </si>
  <si>
    <t xml:space="preserve">Quantidade de peças</t>
  </si>
  <si>
    <t xml:space="preserve">Preço sugerido (custo + horas × meta)</t>
  </si>
  <si>
    <t xml:space="preserve">Seu preço para o pedido</t>
  </si>
  <si>
    <t xml:space="preserve">Margem</t>
  </si>
  <si>
    <t xml:space="preserve">Retorno por hora de máquina</t>
  </si>
  <si>
    <t xml:space="preserve">Preço por peça</t>
  </si>
  <si>
    <t xml:space="preserve">Horas de máquina: use o tempo do fatiador para o pedido inteiro. O tempo de arte, mensagem e ida à loja não entra aqui; é por causa dele que o piso existe. Todo número é hipótese a validar com a sua impressora e a sua região.</t>
  </si>
  <si>
    <t xml:space="preserve">Cada venda fechada, com o custo real e o retorno por hora de verdade. Usa os seus números da Calculadora.</t>
  </si>
  <si>
    <t xml:space="preserve">G-Code em branco conta para o G-Code do Painel. O retorno por hora fica vermelho abaixo do piso.</t>
  </si>
  <si>
    <t xml:space="preserve">Data</t>
  </si>
  <si>
    <t xml:space="preserve">Cliente</t>
  </si>
  <si>
    <t xml:space="preserve">O que vendeu</t>
  </si>
  <si>
    <t xml:space="preserve">Qtd</t>
  </si>
  <si>
    <t xml:space="preserve">Valor recebido</t>
  </si>
  <si>
    <t xml:space="preserve">Filamento (g)</t>
  </si>
  <si>
    <t xml:space="preserve">Horas de máquina</t>
  </si>
  <si>
    <t xml:space="preserve">Extras</t>
  </si>
  <si>
    <t xml:space="preserve">Lucro</t>
  </si>
  <si>
    <t xml:space="preserve">Pediu de novo?</t>
  </si>
  <si>
    <t xml:space="preserve">Kit de 3 cortadores e carimbo</t>
  </si>
  <si>
    <t xml:space="preserve">A primeira venda abre a porta. Na entrega, faça as três perguntas da seção 11 do manual e anote tudo aqui.</t>
  </si>
  <si>
    <t xml:space="preserve">Meta: três oportunidades por cliente atendido. Quem já comprou de você e recebeu no prazo compra de novo sem visita fria. Cliente que ainda não tem três linhas aqui ainda tem venda escondida.</t>
  </si>
  <si>
    <t xml:space="preserve">Pergunta</t>
  </si>
  <si>
    <t xml:space="preserve">O que ele respondeu</t>
  </si>
  <si>
    <t xml:space="preserve">Oportunidade</t>
  </si>
  <si>
    <t xml:space="preserve">Valor estimado</t>
  </si>
  <si>
    <t xml:space="preserve">Próxima ação</t>
  </si>
  <si>
    <t xml:space="preserve">Prazo</t>
  </si>
  <si>
    <t xml:space="preserve">Oportunidades deste cliente</t>
  </si>
  <si>
    <t xml:space="preserve">Indicação</t>
  </si>
  <si>
    <t xml:space="preserve">"A gente compra sobremesa da confeitaria da esquina."</t>
  </si>
  <si>
    <t xml:space="preserve">Indicação: confeitaria parceira</t>
  </si>
  <si>
    <t xml:space="preserve">Pedir o contato e levar o kit</t>
  </si>
  <si>
    <t xml:space="preserve">Anotada</t>
  </si>
  <si>
    <t xml:space="preserve">Biblioteca dos 10 G-Codes</t>
  </si>
  <si>
    <t xml:space="preserve">Os dados que alimentam o Painel. Vêm dos manuais e são hipóteses a validar na sua região.</t>
  </si>
  <si>
    <t xml:space="preserve">Código</t>
  </si>
  <si>
    <t xml:space="preserve">Kit de amostra: imprima…</t>
  </si>
  <si>
    <t xml:space="preserve">Máquina do kit</t>
  </si>
  <si>
    <t xml:space="preserve">Número honesto (expectativa, não promessa)</t>
  </si>
  <si>
    <t xml:space="preserve">Se precisar trocar</t>
  </si>
  <si>
    <t xml:space="preserve">Por que o Seletor indica</t>
  </si>
  <si>
    <t xml:space="preserve">Dia 2 pode cair em (1 = segunda)</t>
  </si>
  <si>
    <t xml:space="preserve">Melhor dia para começar</t>
  </si>
  <si>
    <t xml:space="preserve">G-01 · Confeitarias e docerias</t>
  </si>
  <si>
    <t xml:space="preserve">Nível 1</t>
  </si>
  <si>
    <t xml:space="preserve">R$ 90 a 400</t>
  </si>
  <si>
    <t xml:space="preserve">~R$ 65/h</t>
  </si>
  <si>
    <t xml:space="preserve">terça a quinta, das 14h às 16h</t>
  </si>
  <si>
    <t xml:space="preserve">as três peças em PETG</t>
  </si>
  <si>
    <t xml:space="preserve">1h35 de máquina · 32 g</t>
  </si>
  <si>
    <t xml:space="preserve">10 visitas → 3 propostas → 1 venda</t>
  </si>
  <si>
    <t xml:space="preserve">G-04 · Restaurantes, cafés e bares</t>
  </si>
  <si>
    <t xml:space="preserve">Pouca máquina e sem CAD pedem peça pequena, arte simples e pedido que cabe numa noite. Cortador, carimbo e topo de bolo são isso.</t>
  </si>
  <si>
    <t xml:space="preserve">234</t>
  </si>
  <si>
    <t xml:space="preserve">segunda ou terça</t>
  </si>
  <si>
    <t xml:space="preserve">G-02</t>
  </si>
  <si>
    <t xml:space="preserve">G-02 · Nail designers e salões</t>
  </si>
  <si>
    <t xml:space="preserve">R$ 90 a 300</t>
  </si>
  <si>
    <t xml:space="preserve">~R$ 21/h</t>
  </si>
  <si>
    <t xml:space="preserve">terça ou quarta, das 9h às 10h30</t>
  </si>
  <si>
    <t xml:space="preserve">o mini mostruário e a plaquinha</t>
  </si>
  <si>
    <t xml:space="preserve">3h00 de máquina · 60 g</t>
  </si>
  <si>
    <t xml:space="preserve">10 abordagens → 3 propostas → 1 venda, mais indicações</t>
  </si>
  <si>
    <t xml:space="preserve">G-05 · Semijoias e acessórios</t>
  </si>
  <si>
    <t xml:space="preserve">Fica na biblioteca: abra depois da primeira venda.</t>
  </si>
  <si>
    <t xml:space="preserve">23</t>
  </si>
  <si>
    <t xml:space="preserve">G-03 · Pet shops</t>
  </si>
  <si>
    <t xml:space="preserve">R$ 160 a 800</t>
  </si>
  <si>
    <t xml:space="preserve">~R$ 58/h</t>
  </si>
  <si>
    <t xml:space="preserve">as tags e o mini display</t>
  </si>
  <si>
    <t xml:space="preserve">2h10 de máquina · 45 g</t>
  </si>
  <si>
    <t xml:space="preserve">10 visitas → 3 mini displays deixados → 1 lote em consignação</t>
  </si>
  <si>
    <t xml:space="preserve">G-09 · Papelarias e festa</t>
  </si>
  <si>
    <t xml:space="preserve">Com pouca máquina, quem revende trabalha por você: o pet shop vende as suas tags no balcão, e a reposição chega sem nova visita.</t>
  </si>
  <si>
    <t xml:space="preserve">segunda, terça ou quarta</t>
  </si>
  <si>
    <t xml:space="preserve">R$ 150 a 700</t>
  </si>
  <si>
    <t xml:space="preserve">~R$ 52/h</t>
  </si>
  <si>
    <t xml:space="preserve">terça a quinta, das 15h às 17h</t>
  </si>
  <si>
    <t xml:space="preserve">o suporte, com o QR testado em 3 celulares</t>
  </si>
  <si>
    <t xml:space="preserve">1h50 de máquina · 59 g</t>
  </si>
  <si>
    <t xml:space="preserve">10 visitas → 3 casas com suporte em teste → 1 venda</t>
  </si>
  <si>
    <t xml:space="preserve">Máquina média, sem CAD e para quem usa: suporte de QR para avaliação no Google, cardápio e Pix. A dor é a nota no Google, e o dono sabe disso.</t>
  </si>
  <si>
    <t xml:space="preserve">G-05</t>
  </si>
  <si>
    <t xml:space="preserve">Nível 2</t>
  </si>
  <si>
    <t xml:space="preserve">~R$ 25/h</t>
  </si>
  <si>
    <t xml:space="preserve">terça a quinta, das 10h às 12h</t>
  </si>
  <si>
    <t xml:space="preserve">o kit em PLA fosco e silk</t>
  </si>
  <si>
    <t xml:space="preserve">2h40 de máquina · 60 g</t>
  </si>
  <si>
    <t xml:space="preserve">10 visitas → 3 propostas → 1 venda até o próximo lançamento</t>
  </si>
  <si>
    <t xml:space="preserve">G-06</t>
  </si>
  <si>
    <t xml:space="preserve">G-06 · Lojas de celular e assistências</t>
  </si>
  <si>
    <t xml:space="preserve">R$ 120 a 700</t>
  </si>
  <si>
    <t xml:space="preserve">~R$ 30/h</t>
  </si>
  <si>
    <t xml:space="preserve">o expositor e a mini bandeja</t>
  </si>
  <si>
    <t xml:space="preserve">2h20 de máquina · 65 g</t>
  </si>
  <si>
    <t xml:space="preserve">10 visitas → 3 lojas medidas → 1 venda</t>
  </si>
  <si>
    <t xml:space="preserve">G-10 · Oficinas e pequena indústria</t>
  </si>
  <si>
    <t xml:space="preserve">G-07 · Academias, boxes e escolas esportivas</t>
  </si>
  <si>
    <t xml:space="preserve">R$ 250 a 1.500</t>
  </si>
  <si>
    <t xml:space="preserve">fora do pico: 10h às 12h ou 14h às 16h</t>
  </si>
  <si>
    <t xml:space="preserve">a medalha com o nome do desafio deles</t>
  </si>
  <si>
    <t xml:space="preserve">2h50 de máquina · 64 g</t>
  </si>
  <si>
    <t xml:space="preserve">10 visitas → 3 datas de desafio anotadas → 1 pedido</t>
  </si>
  <si>
    <t xml:space="preserve">G-08 · Imobiliárias e corretores</t>
  </si>
  <si>
    <t xml:space="preserve">Com mais de 8h livres por dia, você aguenta um pacote de 14h de máquina. Medalha de desafio interno tem data marcada e se repete a cada desafio.</t>
  </si>
  <si>
    <t xml:space="preserve">1234</t>
  </si>
  <si>
    <t xml:space="preserve">domingo, segunda, terça ou quarta</t>
  </si>
  <si>
    <t xml:space="preserve">G-08</t>
  </si>
  <si>
    <t xml:space="preserve">R$ 225 a 1.200</t>
  </si>
  <si>
    <t xml:space="preserve">segunda a quarta, das 9h às 11h</t>
  </si>
  <si>
    <t xml:space="preserve">o kit de entrega e as tags</t>
  </si>
  <si>
    <t xml:space="preserve">2h35 de máquina · 60 g</t>
  </si>
  <si>
    <t xml:space="preserve">10 contatos → 3 propostas → 1 pacote, em geral de corretor autônomo</t>
  </si>
  <si>
    <t xml:space="preserve">123</t>
  </si>
  <si>
    <t xml:space="preserve">domingo, segunda ou terça</t>
  </si>
  <si>
    <t xml:space="preserve">Nível 3</t>
  </si>
  <si>
    <t xml:space="preserve">R$ 150 a 500</t>
  </si>
  <si>
    <t xml:space="preserve">~R$ 35/h</t>
  </si>
  <si>
    <t xml:space="preserve">terça ou quarta, das 10h às 11h30</t>
  </si>
  <si>
    <t xml:space="preserve">o kit e o mostruário</t>
  </si>
  <si>
    <t xml:space="preserve">2h05 de máquina · 33 g</t>
  </si>
  <si>
    <t xml:space="preserve">10 abordagens → 2 a 3 interessadas → 1 lote-teste em até 2 semanas</t>
  </si>
  <si>
    <t xml:space="preserve">Máquina média e revenda: você vira o fornecedor 3D da papelaria, com tabela de atacado. Cada festa que ela fecha é um pedido seu.</t>
  </si>
  <si>
    <t xml:space="preserve">Nível 3 · exige CAD</t>
  </si>
  <si>
    <t xml:space="preserve">R$ 80 a 1.500</t>
  </si>
  <si>
    <t xml:space="preserve">R$ 50 a 200/h</t>
  </si>
  <si>
    <t xml:space="preserve">o gabarito, os clips e a engrenagem</t>
  </si>
  <si>
    <t xml:space="preserve">3h00 de máquina · 63 g</t>
  </si>
  <si>
    <t xml:space="preserve">10 visitas → 3 peças medidas → 2 pedidos</t>
  </si>
  <si>
    <t xml:space="preserve">Você já modela peça com encaixe. Peça de reposição e gabarito pagam pelo valor da máquina parada, não pelo plástico. Nunca imprima peça de segurança.</t>
  </si>
  <si>
    <t xml:space="preserve">A coluna "Se precisar trocar"</t>
  </si>
  <si>
    <t xml:space="preserve">É o G-Code que o Painel sugere quando a decisão da semana 2 for TROCAR: duas levas completas, 20 visitas, sem nenhuma proposta na mão. É editável: escolha outro na lista se fizer mais sentido para você.</t>
  </si>
  <si>
    <t xml:space="preserve">Linha do G-Code escolhido (automático, não mexa):</t>
  </si>
  <si>
    <t xml:space="preserve">G-Code indicado pelo Seletor (automático, não mexa):</t>
  </si>
  <si>
    <t xml:space="preserve">Linha do G-Code do Seletor (automático, não mexa):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</si>
</sst>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0%"/>
    <numFmt numFmtId="167" formatCode="0"/>
    <numFmt numFmtId="168" formatCode="&quot;R$ &quot;#,##0;&quot;-R$ &quot;#,##0;\-"/>
    <numFmt numFmtId="169" formatCode="&quot;R$ &quot;#,##0.00;&quot;-R$ &quot;#,##0.00;\-"/>
    <numFmt numFmtId="170" formatCode="0.0"/>
    <numFmt numFmtId="171" formatCode="0&quot; W&quot;"/>
    <numFmt numFmtId="172" formatCode="0&quot; g&quot;"/>
    <numFmt numFmtId="173" formatCode="0.0&quot; h&quot;"/>
    <numFmt numFmtId="174" formatCode="@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4ADE8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B9C8BF"/>
      <name val="Arial"/>
      <family val="0"/>
      <charset val="1"/>
    </font>
    <font>
      <b val="true"/>
      <sz val="24"/>
      <color rgb="FF14201A"/>
      <name val="Arial"/>
      <family val="0"/>
      <charset val="1"/>
    </font>
    <font>
      <b val="true"/>
      <sz val="12"/>
      <color rgb="FF14201A"/>
      <name val="Arial"/>
      <family val="0"/>
      <charset val="1"/>
    </font>
    <font>
      <b val="true"/>
      <u val="single"/>
      <sz val="10"/>
      <color rgb="FF2D7A4F"/>
      <name val="Arial"/>
      <family val="0"/>
      <charset val="1"/>
    </font>
    <font>
      <sz val="10"/>
      <color rgb="FF4251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4201A"/>
      <name val="Arial"/>
      <family val="0"/>
      <charset val="1"/>
    </font>
    <font>
      <b val="true"/>
      <sz val="10"/>
      <color rgb="FF9C2B1E"/>
      <name val="Arial"/>
      <family val="0"/>
      <charset val="1"/>
    </font>
    <font>
      <b val="true"/>
      <u val="single"/>
      <sz val="9"/>
      <color rgb="FF2D7A4F"/>
      <name val="Arial"/>
      <family val="0"/>
      <charset val="1"/>
    </font>
    <font>
      <b val="true"/>
      <sz val="20"/>
      <color rgb="FF14201A"/>
      <name val="Arial"/>
      <family val="0"/>
      <charset val="1"/>
    </font>
    <font>
      <b val="true"/>
      <sz val="11"/>
      <color rgb="FF14201A"/>
      <name val="Arial"/>
      <family val="0"/>
      <charset val="1"/>
    </font>
    <font>
      <b val="true"/>
      <sz val="10"/>
      <color rgb="FF2D7A4F"/>
      <name val="Arial"/>
      <family val="0"/>
      <charset val="1"/>
    </font>
    <font>
      <sz val="9"/>
      <color rgb="FF6B7A72"/>
      <name val="Arial"/>
      <family val="0"/>
      <charset val="1"/>
    </font>
    <font>
      <b val="true"/>
      <sz val="40"/>
      <color rgb="FF4ADE80"/>
      <name val="Arial"/>
      <family val="0"/>
      <charset val="1"/>
    </font>
    <font>
      <b val="true"/>
      <sz val="15"/>
      <color rgb="FF14201A"/>
      <name val="Arial"/>
      <family val="0"/>
      <charset val="1"/>
    </font>
    <font>
      <b val="true"/>
      <sz val="9"/>
      <color rgb="FF2D7A4F"/>
      <name val="Arial"/>
      <family val="0"/>
      <charset val="1"/>
    </font>
    <font>
      <b val="true"/>
      <sz val="8"/>
      <color rgb="FF6B7A72"/>
      <name val="Arial"/>
      <family val="0"/>
      <charset val="1"/>
    </font>
    <font>
      <b val="true"/>
      <sz val="13"/>
      <color rgb="FF14201A"/>
      <name val="Arial"/>
      <family val="0"/>
      <charset val="1"/>
    </font>
    <font>
      <i val="true"/>
      <sz val="9"/>
      <color rgb="FF6B7A72"/>
      <name val="Arial"/>
      <family val="0"/>
      <charset val="1"/>
    </font>
    <font>
      <b val="true"/>
      <u val="single"/>
      <sz val="11"/>
      <color rgb="FF2D7A4F"/>
      <name val="Arial"/>
      <family val="0"/>
      <charset val="1"/>
    </font>
    <font>
      <sz val="9"/>
      <color rgb="FF42514A"/>
      <name val="Arial"/>
      <family val="0"/>
      <charset val="1"/>
    </font>
    <font>
      <b val="true"/>
      <sz val="9"/>
      <color rgb="FF6B7A72"/>
      <name val="Arial"/>
      <family val="0"/>
      <charset val="1"/>
    </font>
    <font>
      <sz val="8"/>
      <color rgb="FF6B7A72"/>
      <name val="Arial"/>
      <family val="0"/>
      <charset val="1"/>
    </font>
    <font>
      <sz val="9"/>
      <color rgb="FF14201A"/>
      <name val="Arial"/>
      <family val="0"/>
      <charset val="1"/>
    </font>
    <font>
      <b val="true"/>
      <sz val="8"/>
      <color rgb="FF8A5A1E"/>
      <name val="Arial"/>
      <family val="0"/>
      <charset val="1"/>
    </font>
    <font>
      <i val="true"/>
      <sz val="9"/>
      <color rgb="FF42514A"/>
      <name val="Arial"/>
      <family val="0"/>
      <charset val="1"/>
    </font>
    <font>
      <b val="true"/>
      <sz val="18"/>
      <color rgb="FF4ADE80"/>
      <name val="Arial"/>
      <family val="0"/>
      <charset val="1"/>
    </font>
    <font>
      <b val="true"/>
      <sz val="22"/>
      <color rgb="FF14201A"/>
      <name val="Arial"/>
      <family val="0"/>
      <charset val="1"/>
    </font>
    <font>
      <b val="true"/>
      <sz val="16"/>
      <color rgb="FF14201A"/>
      <name val="Arial"/>
      <family val="0"/>
      <charset val="1"/>
    </font>
    <font>
      <sz val="8"/>
      <color rgb="FFB9C8BF"/>
      <name val="Arial"/>
      <family val="0"/>
      <charset val="1"/>
    </font>
    <font>
      <b val="true"/>
      <sz val="14"/>
      <color rgb="FF14201A"/>
      <name val="Arial"/>
      <family val="0"/>
      <charset val="1"/>
    </font>
    <font>
      <i val="true"/>
      <sz val="8"/>
      <color rgb="FF6B7A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4201A"/>
      <name val="Arial"/>
      <family val="0"/>
      <charset val="1"/>
    </font>
    <font>
      <sz val="10"/>
      <color rgb="FF6B7A72"/>
      <name val="Arial"/>
      <family val="0"/>
      <charset val="1"/>
    </font>
    <font>
      <sz val="11"/>
      <color rgb="FF2D7A4F"/>
      <name val="Arial"/>
      <family val="0"/>
      <charset val="1"/>
    </font>
    <font>
      <b val="true"/>
      <sz val="20"/>
      <color rgb="FF4ADE80"/>
      <name val="Arial"/>
      <family val="0"/>
      <charset val="1"/>
    </font>
    <font>
      <b val="true"/>
      <sz val="14"/>
      <color rgb="FF4ADE80"/>
      <name val="Arial"/>
      <family val="0"/>
      <charset val="1"/>
    </font>
    <font>
      <b val="true"/>
      <sz val="9"/>
      <color rgb="FFB9C8BF"/>
      <name val="Arial"/>
      <family val="0"/>
      <charset val="1"/>
    </font>
    <font>
      <b val="true"/>
      <sz val="9"/>
      <color rgb="FF14201A"/>
      <name val="Arial"/>
      <family val="0"/>
      <charset val="1"/>
    </font>
    <font>
      <b val="true"/>
      <sz val="18"/>
      <color rgb="FF14201A"/>
      <name val="Arial"/>
      <family val="0"/>
      <charset val="1"/>
    </font>
    <font>
      <i val="true"/>
      <sz val="10"/>
      <color rgb="FF6B7A72"/>
      <name val="Arial"/>
      <family val="0"/>
      <charset val="1"/>
    </font>
    <font>
      <b val="true"/>
      <sz val="10"/>
      <color rgb="FF42514A"/>
      <name val="Arial"/>
      <family val="0"/>
      <charset val="1"/>
    </font>
    <font>
      <b val="true"/>
      <i val="true"/>
      <sz val="10"/>
      <color rgb="FF6B7A7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4201A"/>
        <bgColor rgb="FF22302A"/>
      </patternFill>
    </fill>
    <fill>
      <patternFill patternType="solid">
        <fgColor rgb="FF4ADE80"/>
        <bgColor rgb="FF00CCFF"/>
      </patternFill>
    </fill>
    <fill>
      <patternFill patternType="solid">
        <fgColor rgb="FFF2EFE7"/>
        <bgColor rgb="FFF6ECDC"/>
      </patternFill>
    </fill>
    <fill>
      <patternFill patternType="solid">
        <fgColor rgb="FFE6F4EA"/>
        <bgColor rgb="FFF2EFE7"/>
      </patternFill>
    </fill>
    <fill>
      <patternFill patternType="solid">
        <fgColor rgb="FFF6D5D0"/>
        <bgColor rgb="FFE6E2D8"/>
      </patternFill>
    </fill>
    <fill>
      <patternFill patternType="solid">
        <fgColor rgb="FFF6ECDC"/>
        <bgColor rgb="FFF2EFE7"/>
      </patternFill>
    </fill>
    <fill>
      <patternFill patternType="solid">
        <fgColor rgb="FF22302A"/>
        <bgColor rgb="FF14201A"/>
      </patternFill>
    </fill>
    <fill>
      <patternFill patternType="solid">
        <fgColor rgb="FF2D7A4F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ADE80"/>
      </bottom>
      <diagonal/>
    </border>
    <border diagonalUp="false" diagonalDown="false">
      <left style="thin">
        <color rgb="FFDDD8CC"/>
      </left>
      <right style="thin">
        <color rgb="FFDDD8CC"/>
      </right>
      <top style="thin">
        <color rgb="FFDDD8CC"/>
      </top>
      <bottom style="thin">
        <color rgb="FFDDD8CC"/>
      </bottom>
      <diagonal/>
    </border>
    <border diagonalUp="false" diagonalDown="false">
      <left/>
      <right/>
      <top/>
      <bottom style="thin">
        <color rgb="FFE6E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7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2" fillId="4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32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33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4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2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4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6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5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5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42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46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32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4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7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3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2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3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3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3" fontId="3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3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4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4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47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4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47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7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3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2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3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5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14201A"/>
      </font>
      <fill>
        <patternFill>
          <bgColor rgb="FF4ADE80"/>
        </patternFill>
      </fill>
    </dxf>
    <dxf>
      <font>
        <name val="Arial"/>
        <charset val="1"/>
        <family val="0"/>
        <b val="1"/>
        <color rgb="FF2D7A4F"/>
        <sz val="8"/>
      </font>
    </dxf>
    <dxf>
      <font>
        <name val="Arial"/>
        <charset val="1"/>
        <family val="0"/>
        <b val="1"/>
        <color rgb="FF9C2B1E"/>
        <sz val="8"/>
      </font>
      <fill>
        <patternFill>
          <bgColor rgb="FFF6D5D0"/>
        </patternFill>
      </fill>
    </dxf>
    <dxf>
      <font>
        <name val="Arial"/>
        <charset val="1"/>
        <family val="0"/>
        <b val="1"/>
        <color rgb="FF9AA39F"/>
        <sz val="18"/>
      </font>
    </dxf>
    <dxf>
      <font>
        <name val="Arial"/>
        <charset val="1"/>
        <family val="0"/>
        <b val="1"/>
        <color rgb="FF4ADE80"/>
      </font>
      <fill>
        <patternFill>
          <bgColor rgb="FF14201A"/>
        </patternFill>
      </fill>
    </dxf>
    <dxf>
      <font>
        <name val="Arial"/>
        <charset val="1"/>
        <family val="0"/>
        <b val="1"/>
        <color rgb="FF9C2B1E"/>
      </font>
      <fill>
        <patternFill>
          <bgColor rgb="FFF6D5D0"/>
        </patternFill>
      </fill>
    </dxf>
    <dxf>
      <font>
        <name val="Arial"/>
        <charset val="1"/>
        <family val="0"/>
        <b val="1"/>
        <color rgb="FF2D7A4F"/>
      </font>
      <fill>
        <patternFill>
          <bgColor rgb="FFCDEBD8"/>
        </patternFill>
      </fill>
    </dxf>
    <dxf>
      <fill>
        <patternFill>
          <bgColor rgb="FFCDEBD8"/>
        </patternFill>
      </fill>
    </dxf>
    <dxf>
      <font>
        <name val="Arial"/>
        <charset val="1"/>
        <family val="0"/>
        <color rgb="FF9AA39F"/>
      </font>
    </dxf>
    <dxf>
      <font>
        <name val="Arial"/>
        <charset val="1"/>
        <family val="0"/>
        <b val="1"/>
        <color rgb="FF9C2B1E"/>
        <sz val="12"/>
      </font>
      <fill>
        <patternFill>
          <bgColor rgb="FFF6D5D0"/>
        </patternFill>
      </fill>
    </dxf>
    <dxf>
      <font>
        <name val="Arial"/>
        <charset val="1"/>
        <family val="0"/>
        <b val="1"/>
        <color rgb="FF14201A"/>
        <sz val="12"/>
      </font>
      <fill>
        <patternFill>
          <bgColor rgb="FF4ADE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E"/>
      <rgbColor rgb="FF800080"/>
      <rgbColor rgb="FF008080"/>
      <rgbColor rgb="FFB9C8BF"/>
      <rgbColor rgb="FF6B7A72"/>
      <rgbColor rgb="FF9999FF"/>
      <rgbColor rgb="FF993366"/>
      <rgbColor rgb="FFF6ECDC"/>
      <rgbColor rgb="FFE6F4EA"/>
      <rgbColor rgb="FF660066"/>
      <rgbColor rgb="FFFF8080"/>
      <rgbColor rgb="FF0066CC"/>
      <rgbColor rgb="FFDDD8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FE7"/>
      <rgbColor rgb="FFCDEBD8"/>
      <rgbColor rgb="FFE6E2D8"/>
      <rgbColor rgb="FF99CCFF"/>
      <rgbColor rgb="FFFF99CC"/>
      <rgbColor rgb="FFCC99FF"/>
      <rgbColor rgb="FFF6D5D0"/>
      <rgbColor rgb="FF3366FF"/>
      <rgbColor rgb="FF4ADE80"/>
      <rgbColor rgb="FF99CC00"/>
      <rgbColor rgb="FFFFCC00"/>
      <rgbColor rgb="FFFF9900"/>
      <rgbColor rgb="FFFF6600"/>
      <rgbColor rgb="FF666699"/>
      <rgbColor rgb="FF9AA39F"/>
      <rgbColor rgb="FF003366"/>
      <rgbColor rgb="FF2D7A4F"/>
      <rgbColor rgb="FF14201A"/>
      <rgbColor rgb="FF42514A"/>
      <rgbColor rgb="FF9C2B1E"/>
      <rgbColor rgb="FF993366"/>
      <rgbColor rgb="FF333399"/>
      <rgbColor rgb="FF223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true"/>
  </sheetPr>
  <dimension ref="A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10" min="3" style="0" width="12"/>
    <col collapsed="false" customWidth="true" hidden="false" outlineLevel="0" max="11" min="11" style="0" width="18"/>
    <col collapsed="false" customWidth="true" hidden="false" outlineLevel="0" max="12" min="12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0" hidden="false" customHeight="tru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9.5" hidden="false" customHeight="true" outlineLevel="0" collapsed="false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8" hidden="false" customHeight="true" outlineLevel="0" collapsed="false"/>
    <row r="7" customFormat="false" ht="21.75" hidden="false" customHeight="true" outlineLevel="0" collapsed="false">
      <c r="B7" s="6" t="s">
        <v>3</v>
      </c>
      <c r="C7" s="7" t="s">
        <v>4</v>
      </c>
      <c r="D7" s="7"/>
      <c r="E7" s="7"/>
      <c r="F7" s="7"/>
      <c r="G7" s="7"/>
      <c r="H7" s="7"/>
      <c r="I7" s="7"/>
      <c r="J7" s="7"/>
      <c r="K7" s="8" t="s">
        <v>5</v>
      </c>
    </row>
    <row r="8" customFormat="false" ht="33.75" hidden="false" customHeight="true" outlineLevel="0" collapsed="false">
      <c r="B8" s="6"/>
      <c r="C8" s="9" t="s">
        <v>6</v>
      </c>
      <c r="D8" s="9"/>
      <c r="E8" s="9"/>
      <c r="F8" s="9"/>
      <c r="G8" s="9"/>
      <c r="H8" s="9"/>
      <c r="I8" s="9"/>
      <c r="J8" s="9"/>
      <c r="K8" s="9"/>
    </row>
    <row r="10" customFormat="false" ht="21.75" hidden="false" customHeight="true" outlineLevel="0" collapsed="false">
      <c r="B10" s="6" t="s">
        <v>7</v>
      </c>
      <c r="C10" s="7" t="s">
        <v>8</v>
      </c>
      <c r="D10" s="7"/>
      <c r="E10" s="7"/>
      <c r="F10" s="7"/>
      <c r="G10" s="7"/>
      <c r="H10" s="7"/>
      <c r="I10" s="7"/>
      <c r="J10" s="7"/>
      <c r="K10" s="8" t="s">
        <v>9</v>
      </c>
    </row>
    <row r="11" customFormat="false" ht="33.75" hidden="false" customHeight="true" outlineLevel="0" collapsed="false">
      <c r="B11" s="6"/>
      <c r="C11" s="9" t="s">
        <v>10</v>
      </c>
      <c r="D11" s="9"/>
      <c r="E11" s="9"/>
      <c r="F11" s="9"/>
      <c r="G11" s="9"/>
      <c r="H11" s="9"/>
      <c r="I11" s="9"/>
      <c r="J11" s="9"/>
      <c r="K11" s="9"/>
    </row>
    <row r="13" customFormat="false" ht="21.75" hidden="false" customHeight="true" outlineLevel="0" collapsed="false">
      <c r="B13" s="6" t="s">
        <v>11</v>
      </c>
      <c r="C13" s="7" t="s">
        <v>12</v>
      </c>
      <c r="D13" s="7"/>
      <c r="E13" s="7"/>
      <c r="F13" s="7"/>
      <c r="G13" s="7"/>
      <c r="H13" s="7"/>
      <c r="I13" s="7"/>
      <c r="J13" s="7"/>
      <c r="K13" s="8" t="s">
        <v>13</v>
      </c>
    </row>
    <row r="14" customFormat="false" ht="33.75" hidden="false" customHeight="true" outlineLevel="0" collapsed="false">
      <c r="B14" s="6"/>
      <c r="C14" s="9" t="s">
        <v>14</v>
      </c>
      <c r="D14" s="9"/>
      <c r="E14" s="9"/>
      <c r="F14" s="9"/>
      <c r="G14" s="9"/>
      <c r="H14" s="9"/>
      <c r="I14" s="9"/>
      <c r="J14" s="9"/>
      <c r="K14" s="9"/>
    </row>
    <row r="16" customFormat="false" ht="21.75" hidden="false" customHeight="true" outlineLevel="0" collapsed="false">
      <c r="B16" s="6" t="s">
        <v>15</v>
      </c>
      <c r="C16" s="7" t="s">
        <v>16</v>
      </c>
      <c r="D16" s="7"/>
      <c r="E16" s="7"/>
      <c r="F16" s="7"/>
      <c r="G16" s="7"/>
      <c r="H16" s="7"/>
      <c r="I16" s="7"/>
      <c r="J16" s="7"/>
      <c r="K16" s="8" t="s">
        <v>17</v>
      </c>
    </row>
    <row r="17" customFormat="false" ht="33.75" hidden="false" customHeight="true" outlineLevel="0" collapsed="false">
      <c r="B17" s="6"/>
      <c r="C17" s="9" t="s">
        <v>18</v>
      </c>
      <c r="D17" s="9"/>
      <c r="E17" s="9"/>
      <c r="F17" s="9"/>
      <c r="G17" s="9"/>
      <c r="H17" s="9"/>
      <c r="I17" s="9"/>
      <c r="J17" s="9"/>
      <c r="K17" s="9"/>
    </row>
    <row r="19" customFormat="false" ht="21.75" hidden="false" customHeight="true" outlineLevel="0" collapsed="false">
      <c r="B19" s="6" t="s">
        <v>19</v>
      </c>
      <c r="C19" s="7" t="s">
        <v>20</v>
      </c>
      <c r="D19" s="7"/>
      <c r="E19" s="7"/>
      <c r="F19" s="7"/>
      <c r="G19" s="7"/>
      <c r="H19" s="7"/>
      <c r="I19" s="7"/>
      <c r="J19" s="7"/>
      <c r="K19" s="8" t="s">
        <v>21</v>
      </c>
    </row>
    <row r="20" customFormat="false" ht="33.75" hidden="false" customHeight="true" outlineLevel="0" collapsed="false">
      <c r="B20" s="6"/>
      <c r="C20" s="9" t="s">
        <v>22</v>
      </c>
      <c r="D20" s="9"/>
      <c r="E20" s="9"/>
      <c r="F20" s="9"/>
      <c r="G20" s="9"/>
      <c r="H20" s="9"/>
      <c r="I20" s="9"/>
      <c r="J20" s="9"/>
      <c r="K20" s="9"/>
    </row>
    <row r="22" customFormat="false" ht="21.75" hidden="false" customHeight="true" outlineLevel="0" collapsed="false">
      <c r="B22" s="10" t="s">
        <v>23</v>
      </c>
      <c r="C22" s="1"/>
      <c r="D22" s="1"/>
      <c r="E22" s="1"/>
      <c r="F22" s="1"/>
      <c r="G22" s="1"/>
      <c r="H22" s="1"/>
      <c r="I22" s="1"/>
      <c r="J22" s="1"/>
      <c r="K22" s="1"/>
    </row>
    <row r="23" customFormat="false" ht="25.5" hidden="false" customHeight="true" outlineLevel="0" collapsed="false">
      <c r="B23" s="11" t="s">
        <v>24</v>
      </c>
      <c r="C23" s="11"/>
      <c r="D23" s="11"/>
      <c r="E23" s="11"/>
      <c r="F23" s="11"/>
      <c r="G23" s="11"/>
      <c r="H23" s="11"/>
      <c r="I23" s="11"/>
      <c r="J23" s="11"/>
      <c r="K23" s="11"/>
    </row>
    <row r="24" customFormat="false" ht="25.5" hidden="false" customHeight="true" outlineLevel="0" collapsed="false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6" customFormat="false" ht="21.75" hidden="false" customHeight="true" outlineLevel="0" collapsed="false">
      <c r="B26" s="10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customFormat="false" ht="19.5" hidden="false" customHeight="true" outlineLevel="0" collapsed="false">
      <c r="B27" s="12" t="s">
        <v>26</v>
      </c>
      <c r="C27" s="13" t="s">
        <v>27</v>
      </c>
      <c r="D27" s="13"/>
      <c r="E27" s="13"/>
      <c r="F27" s="13"/>
      <c r="G27" s="13"/>
      <c r="H27" s="13"/>
      <c r="I27" s="13"/>
      <c r="J27" s="13"/>
      <c r="K27" s="13"/>
    </row>
    <row r="28" customFormat="false" ht="19.5" hidden="false" customHeight="true" outlineLevel="0" collapsed="false">
      <c r="B28" s="14" t="s">
        <v>26</v>
      </c>
      <c r="C28" s="13" t="s">
        <v>28</v>
      </c>
      <c r="D28" s="13"/>
      <c r="E28" s="13"/>
      <c r="F28" s="13"/>
      <c r="G28" s="13"/>
      <c r="H28" s="13"/>
      <c r="I28" s="13"/>
      <c r="J28" s="13"/>
      <c r="K28" s="13"/>
    </row>
    <row r="29" customFormat="false" ht="19.5" hidden="false" customHeight="true" outlineLevel="0" collapsed="false">
      <c r="B29" s="15" t="s">
        <v>26</v>
      </c>
      <c r="C29" s="13" t="s">
        <v>29</v>
      </c>
      <c r="D29" s="13"/>
      <c r="E29" s="13"/>
      <c r="F29" s="13"/>
      <c r="G29" s="13"/>
      <c r="H29" s="13"/>
      <c r="I29" s="13"/>
      <c r="J29" s="13"/>
      <c r="K29" s="13"/>
    </row>
    <row r="30" customFormat="false" ht="19.5" hidden="false" customHeight="true" outlineLevel="0" collapsed="false">
      <c r="B30" s="16" t="s">
        <v>26</v>
      </c>
      <c r="C30" s="13" t="s">
        <v>30</v>
      </c>
      <c r="D30" s="13"/>
      <c r="E30" s="13"/>
      <c r="F30" s="13"/>
      <c r="G30" s="13"/>
      <c r="H30" s="13"/>
      <c r="I30" s="13"/>
      <c r="J30" s="13"/>
      <c r="K30" s="13"/>
    </row>
    <row r="32" customFormat="false" ht="21.75" hidden="false" customHeight="true" outlineLevel="0" collapsed="false">
      <c r="B32" s="10" t="s">
        <v>31</v>
      </c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9.5" hidden="false" customHeight="true" outlineLevel="0" collapsed="false">
      <c r="B33" s="17" t="s">
        <v>32</v>
      </c>
      <c r="C33" s="17"/>
      <c r="D33" s="13" t="s">
        <v>33</v>
      </c>
      <c r="E33" s="13"/>
      <c r="F33" s="13"/>
      <c r="G33" s="13"/>
      <c r="H33" s="13"/>
      <c r="I33" s="13"/>
      <c r="J33" s="13"/>
      <c r="K33" s="13"/>
    </row>
    <row r="34" customFormat="false" ht="19.5" hidden="false" customHeight="true" outlineLevel="0" collapsed="false">
      <c r="B34" s="17" t="s">
        <v>34</v>
      </c>
      <c r="C34" s="17"/>
      <c r="D34" s="13" t="s">
        <v>35</v>
      </c>
      <c r="E34" s="13"/>
      <c r="F34" s="13"/>
      <c r="G34" s="13"/>
      <c r="H34" s="13"/>
      <c r="I34" s="13"/>
      <c r="J34" s="13"/>
      <c r="K34" s="13"/>
    </row>
    <row r="35" customFormat="false" ht="19.5" hidden="false" customHeight="true" outlineLevel="0" collapsed="false">
      <c r="B35" s="17" t="s">
        <v>36</v>
      </c>
      <c r="C35" s="17"/>
      <c r="D35" s="13" t="s">
        <v>37</v>
      </c>
      <c r="E35" s="13"/>
      <c r="F35" s="13"/>
      <c r="G35" s="13"/>
      <c r="H35" s="13"/>
      <c r="I35" s="13"/>
      <c r="J35" s="13"/>
      <c r="K35" s="13"/>
    </row>
    <row r="36" customFormat="false" ht="19.5" hidden="false" customHeight="true" outlineLevel="0" collapsed="false">
      <c r="B36" s="17" t="s">
        <v>38</v>
      </c>
      <c r="C36" s="17"/>
      <c r="D36" s="13" t="s">
        <v>39</v>
      </c>
      <c r="E36" s="13"/>
      <c r="F36" s="13"/>
      <c r="G36" s="13"/>
      <c r="H36" s="13"/>
      <c r="I36" s="13"/>
      <c r="J36" s="13"/>
      <c r="K36" s="13"/>
    </row>
    <row r="37" customFormat="false" ht="19.5" hidden="false" customHeight="true" outlineLevel="0" collapsed="false">
      <c r="B37" s="17" t="s">
        <v>40</v>
      </c>
      <c r="C37" s="17"/>
      <c r="D37" s="13" t="s">
        <v>41</v>
      </c>
      <c r="E37" s="13"/>
      <c r="F37" s="13"/>
      <c r="G37" s="13"/>
      <c r="H37" s="13"/>
      <c r="I37" s="13"/>
      <c r="J37" s="13"/>
      <c r="K37" s="13"/>
    </row>
    <row r="38" customFormat="false" ht="19.5" hidden="false" customHeight="true" outlineLevel="0" collapsed="false">
      <c r="B38" s="17" t="s">
        <v>42</v>
      </c>
      <c r="C38" s="17"/>
      <c r="D38" s="13" t="s">
        <v>43</v>
      </c>
      <c r="E38" s="13"/>
      <c r="F38" s="13"/>
      <c r="G38" s="13"/>
      <c r="H38" s="13"/>
      <c r="I38" s="13"/>
      <c r="J38" s="13"/>
      <c r="K38" s="13"/>
    </row>
    <row r="39" customFormat="false" ht="19.5" hidden="false" customHeight="true" outlineLevel="0" collapsed="false">
      <c r="B39" s="17" t="s">
        <v>44</v>
      </c>
      <c r="C39" s="17"/>
      <c r="D39" s="13" t="s">
        <v>45</v>
      </c>
      <c r="E39" s="13"/>
      <c r="F39" s="13"/>
      <c r="G39" s="13"/>
      <c r="H39" s="13"/>
      <c r="I39" s="13"/>
      <c r="J39" s="13"/>
      <c r="K39" s="13"/>
    </row>
    <row r="40" customFormat="false" ht="19.5" hidden="false" customHeight="true" outlineLevel="0" collapsed="false">
      <c r="B40" s="17" t="s">
        <v>46</v>
      </c>
      <c r="C40" s="17"/>
      <c r="D40" s="13" t="s">
        <v>47</v>
      </c>
      <c r="E40" s="13"/>
      <c r="F40" s="13"/>
      <c r="G40" s="13"/>
      <c r="H40" s="13"/>
      <c r="I40" s="13"/>
      <c r="J40" s="13"/>
      <c r="K40" s="13"/>
    </row>
  </sheetData>
  <mergeCells count="36">
    <mergeCell ref="B7:B8"/>
    <mergeCell ref="C7:J7"/>
    <mergeCell ref="C8:K8"/>
    <mergeCell ref="B10:B11"/>
    <mergeCell ref="C10:J10"/>
    <mergeCell ref="C11:K11"/>
    <mergeCell ref="B13:B14"/>
    <mergeCell ref="C13:J13"/>
    <mergeCell ref="C14:K14"/>
    <mergeCell ref="B16:B17"/>
    <mergeCell ref="C16:J16"/>
    <mergeCell ref="C17:K17"/>
    <mergeCell ref="B19:B20"/>
    <mergeCell ref="C19:J19"/>
    <mergeCell ref="C20:K20"/>
    <mergeCell ref="B23:K24"/>
    <mergeCell ref="C27:K27"/>
    <mergeCell ref="C28:K28"/>
    <mergeCell ref="C29:K29"/>
    <mergeCell ref="C30:K30"/>
    <mergeCell ref="B33:C33"/>
    <mergeCell ref="D33:K33"/>
    <mergeCell ref="B34:C34"/>
    <mergeCell ref="D34:K34"/>
    <mergeCell ref="B35:C35"/>
    <mergeCell ref="D35:K35"/>
    <mergeCell ref="B36:C36"/>
    <mergeCell ref="D36:K36"/>
    <mergeCell ref="B37:C37"/>
    <mergeCell ref="D37:K37"/>
    <mergeCell ref="B38:C38"/>
    <mergeCell ref="D38:K38"/>
    <mergeCell ref="B39:C39"/>
    <mergeCell ref="D39:K39"/>
    <mergeCell ref="B40:C40"/>
    <mergeCell ref="D40:K40"/>
  </mergeCells>
  <hyperlinks>
    <hyperlink ref="K7" location="'Seletor'!A1" display="Abrir Seletor →"/>
    <hyperlink ref="K10" location="'Painel'!A1" display="Abrir Painel →"/>
    <hyperlink ref="K13" location="'Missão 72h'!A1" display="Abrir Missão 72h →"/>
    <hyperlink ref="K16" location="'Alvos'!A1" display="Abrir Alvos →"/>
    <hyperlink ref="K19" location="'Expansão'!A1" display="Abrir Expansão →"/>
    <hyperlink ref="B33" location="'Seletor'!A1" display="Seletor"/>
    <hyperlink ref="B34" location="'Painel'!A1" display="Painel"/>
    <hyperlink ref="B35" location="'Missão 72h'!A1" display="Missão 72h"/>
    <hyperlink ref="B36" location="'Alvos'!A1" display="Alvos"/>
    <hyperlink ref="B37" location="'Calculadora'!A1" display="Calculadora"/>
    <hyperlink ref="B38" location="'Resultados'!A1" display="Resultados"/>
    <hyperlink ref="B39" location="'Expansão'!A1" display="Expansão"/>
    <hyperlink ref="B40" location="'Biblioteca'!A1" display="Bibliotec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12" min="3" style="0" width="10"/>
    <col collapsed="false" customWidth="true" hidden="false" outlineLevel="0" max="13" min="13" style="0" width="12"/>
    <col collapsed="false" customWidth="true" hidden="false" outlineLevel="0" max="14" min="14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30" hidden="false" customHeight="true" outlineLevel="0" collapsed="false">
      <c r="A3" s="1"/>
      <c r="B3" s="3" t="s">
        <v>32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9.5" hidden="false" customHeight="true" outlineLevel="0" collapsed="false">
      <c r="A4" s="1"/>
      <c r="B4" s="4" t="s">
        <v>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8" hidden="false" customHeight="true" outlineLevel="0" collapsed="false">
      <c r="M6" s="18" t="s">
        <v>49</v>
      </c>
    </row>
    <row r="7" customFormat="false" ht="21.75" hidden="false" customHeight="true" outlineLevel="0" collapsed="false">
      <c r="B7" s="10" t="s">
        <v>50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24" hidden="false" customHeight="true" outlineLevel="0" collapsed="false">
      <c r="B8" s="19" t="s">
        <v>3</v>
      </c>
      <c r="C8" s="20" t="s">
        <v>51</v>
      </c>
      <c r="D8" s="20"/>
      <c r="E8" s="20"/>
      <c r="F8" s="20"/>
      <c r="G8" s="20"/>
      <c r="H8" s="20"/>
      <c r="I8" s="21"/>
      <c r="J8" s="21"/>
      <c r="K8" s="21"/>
      <c r="L8" s="21"/>
      <c r="M8" s="22" t="str">
        <f aca="false">IF(I8="","← escolha","✓")</f>
        <v>← escolha</v>
      </c>
    </row>
    <row r="9" customFormat="false" ht="25.5" hidden="false" customHeight="true" outlineLevel="0" collapsed="false">
      <c r="B9" s="19"/>
      <c r="C9" s="23" t="s">
        <v>52</v>
      </c>
      <c r="D9" s="23"/>
      <c r="E9" s="23"/>
      <c r="F9" s="23"/>
      <c r="G9" s="23"/>
      <c r="H9" s="23"/>
      <c r="I9" s="21"/>
      <c r="J9" s="21"/>
      <c r="K9" s="21"/>
      <c r="L9" s="21"/>
      <c r="M9" s="22"/>
    </row>
    <row r="10" customFormat="false" ht="24" hidden="false" customHeight="true" outlineLevel="0" collapsed="false">
      <c r="B10" s="19" t="s">
        <v>7</v>
      </c>
      <c r="C10" s="20" t="s">
        <v>53</v>
      </c>
      <c r="D10" s="20"/>
      <c r="E10" s="20"/>
      <c r="F10" s="20"/>
      <c r="G10" s="20"/>
      <c r="H10" s="20"/>
      <c r="I10" s="21"/>
      <c r="J10" s="21"/>
      <c r="K10" s="21"/>
      <c r="L10" s="21"/>
      <c r="M10" s="22" t="str">
        <f aca="false">IF(I10="","← escolha","✓")</f>
        <v>← escolha</v>
      </c>
    </row>
    <row r="11" customFormat="false" ht="25.5" hidden="false" customHeight="true" outlineLevel="0" collapsed="false">
      <c r="B11" s="19"/>
      <c r="C11" s="23" t="s">
        <v>54</v>
      </c>
      <c r="D11" s="23"/>
      <c r="E11" s="23"/>
      <c r="F11" s="23"/>
      <c r="G11" s="23"/>
      <c r="H11" s="23"/>
      <c r="I11" s="21"/>
      <c r="J11" s="21"/>
      <c r="K11" s="21"/>
      <c r="L11" s="21"/>
      <c r="M11" s="22"/>
    </row>
    <row r="12" customFormat="false" ht="24" hidden="false" customHeight="true" outlineLevel="0" collapsed="false">
      <c r="B12" s="19" t="s">
        <v>11</v>
      </c>
      <c r="C12" s="20" t="s">
        <v>55</v>
      </c>
      <c r="D12" s="20"/>
      <c r="E12" s="20"/>
      <c r="F12" s="20"/>
      <c r="G12" s="20"/>
      <c r="H12" s="20"/>
      <c r="I12" s="21"/>
      <c r="J12" s="21"/>
      <c r="K12" s="21"/>
      <c r="L12" s="21"/>
      <c r="M12" s="22" t="str">
        <f aca="false">IF(I12="","← escolha","✓")</f>
        <v>← escolha</v>
      </c>
    </row>
    <row r="13" customFormat="false" ht="25.5" hidden="false" customHeight="true" outlineLevel="0" collapsed="false">
      <c r="B13" s="19"/>
      <c r="C13" s="23" t="s">
        <v>56</v>
      </c>
      <c r="D13" s="23"/>
      <c r="E13" s="23"/>
      <c r="F13" s="23"/>
      <c r="G13" s="23"/>
      <c r="H13" s="23"/>
      <c r="I13" s="21"/>
      <c r="J13" s="21"/>
      <c r="K13" s="21"/>
      <c r="L13" s="21"/>
      <c r="M13" s="22"/>
    </row>
    <row r="15" customFormat="false" ht="21.75" hidden="false" customHeight="true" outlineLevel="0" collapsed="false">
      <c r="B15" s="10" t="s">
        <v>57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25.5" hidden="false" customHeight="true" outlineLevel="0" collapsed="false">
      <c r="B16" s="24" t="str">
        <f aca="false">IF(I10="Sim, peça com encaixe","G-10",IF(OR(I8="",I10=""),"",IF(I8="Mais de 8h","G-07",IF(I12="","",IF(I8="Menos de 3h",IF(I12="Para quem revende","G-03","G-01"),IF(I12="Para quem revende","G-09","G-04"))))))</f>
        <v/>
      </c>
      <c r="C16" s="24"/>
      <c r="D16" s="24"/>
      <c r="E16" s="25" t="str">
        <f aca="false">IF(B16="","Faltam "&amp;(3-COUNTA(I8,I10,I12))&amp;" resposta(s). O seu G-Code aparece aqui.",IF(Biblioteca!$F$24=0,"",INDEX(Biblioteca!$C$8:$C$17,Biblioteca!$F$24)))</f>
        <v>Faltam 3 resposta(s). O seu G-Code aparece aqui.</v>
      </c>
      <c r="F16" s="25"/>
      <c r="G16" s="25"/>
      <c r="H16" s="25"/>
      <c r="I16" s="25"/>
      <c r="J16" s="25"/>
      <c r="K16" s="25"/>
      <c r="L16" s="25"/>
      <c r="M16" s="25"/>
    </row>
    <row r="17" customFormat="false" ht="15.75" hidden="false" customHeight="true" outlineLevel="0" collapsed="false">
      <c r="B17" s="24"/>
      <c r="C17" s="24"/>
      <c r="D17" s="24"/>
      <c r="E17" s="26" t="str">
        <f aca="false">IF(B16="","",IF(Biblioteca!$F$24=0,"",INDEX(Biblioteca!$D$8:$D$17,Biblioteca!$F$24)))</f>
        <v/>
      </c>
      <c r="F17" s="26"/>
      <c r="G17" s="26"/>
      <c r="H17" s="26"/>
      <c r="I17" s="26"/>
      <c r="J17" s="26"/>
      <c r="K17" s="26"/>
      <c r="L17" s="26"/>
      <c r="M17" s="26"/>
    </row>
    <row r="18" customFormat="false" ht="25.5" hidden="false" customHeight="true" outlineLevel="0" collapsed="false">
      <c r="B18" s="24"/>
      <c r="C18" s="24"/>
      <c r="D18" s="24"/>
      <c r="E18" s="27" t="str">
        <f aca="false">IF(B16="","Responda as três perguntas acima. A indicação é uma só, de propósito: quem começa com dois nichos termina a semana sem nenhuma proposta.",IF(Biblioteca!$F$24=0,"",INDEX(Biblioteca!$L$8:$L$17,Biblioteca!$F$24)))</f>
        <v>Responda as três perguntas acima. A indicação é uma só, de propósito: quem começa com dois nichos termina a semana sem nenhuma proposta.</v>
      </c>
      <c r="F18" s="27"/>
      <c r="G18" s="27"/>
      <c r="H18" s="27"/>
      <c r="I18" s="27"/>
      <c r="J18" s="27"/>
      <c r="K18" s="27"/>
      <c r="L18" s="27"/>
      <c r="M18" s="27"/>
    </row>
    <row r="19" customFormat="false" ht="25.5" hidden="false" customHeight="true" outlineLevel="0" collapsed="false">
      <c r="B19" s="24"/>
      <c r="C19" s="24"/>
      <c r="D19" s="24"/>
      <c r="E19" s="27"/>
      <c r="F19" s="27"/>
      <c r="G19" s="27"/>
      <c r="H19" s="27"/>
      <c r="I19" s="27"/>
      <c r="J19" s="27"/>
      <c r="K19" s="27"/>
      <c r="L19" s="27"/>
      <c r="M19" s="27"/>
    </row>
    <row r="21" customFormat="false" ht="15" hidden="false" customHeight="false" outlineLevel="0" collapsed="false">
      <c r="B21" s="28" t="s">
        <v>58</v>
      </c>
      <c r="C21" s="28"/>
      <c r="D21" s="28"/>
      <c r="E21" s="28"/>
      <c r="F21" s="28" t="s">
        <v>59</v>
      </c>
      <c r="G21" s="28"/>
      <c r="H21" s="28"/>
      <c r="I21" s="28"/>
      <c r="J21" s="28" t="s">
        <v>60</v>
      </c>
      <c r="K21" s="28"/>
      <c r="L21" s="28"/>
      <c r="M21" s="28"/>
    </row>
    <row r="22" customFormat="false" ht="30" hidden="false" customHeight="true" outlineLevel="0" collapsed="false">
      <c r="B22" s="29" t="str">
        <f aca="false">IF(Biblioteca!$F$24=0,"",INDEX(Biblioteca!$E$8:$E$17,Biblioteca!$F$24))</f>
        <v/>
      </c>
      <c r="C22" s="29"/>
      <c r="D22" s="29"/>
      <c r="E22" s="29"/>
      <c r="F22" s="29" t="str">
        <f aca="false">IF(Biblioteca!$F$24=0,"",INDEX(Biblioteca!$F$8:$F$17,Biblioteca!$F$24))</f>
        <v/>
      </c>
      <c r="G22" s="29"/>
      <c r="H22" s="29"/>
      <c r="I22" s="29"/>
      <c r="J22" s="29" t="str">
        <f aca="false">IF(Biblioteca!$F$24=0,"",INDEX(Biblioteca!$G$8:$G$17,Biblioteca!$F$24))</f>
        <v/>
      </c>
      <c r="K22" s="29"/>
      <c r="L22" s="29"/>
      <c r="M22" s="29"/>
    </row>
    <row r="24" customFormat="false" ht="21.75" hidden="false" customHeight="true" outlineLevel="0" collapsed="false">
      <c r="B24" s="10" t="s">
        <v>61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24" hidden="false" customHeight="true" outlineLevel="0" collapsed="false">
      <c r="B25" s="30" t="str">
        <f aca="false">IF(B16="","",IF(B16="G-10","Leia antes a seção 05 do manual: a lista do que nunca imprimir. ","")&amp;"Imprima "&amp;IF(Biblioteca!$F$24=0,"",INDEX(Biblioteca!$H$8:$H$17,Biblioteca!$F$24))&amp;" ("&amp;IF(Biblioteca!$F$24=0,"",INDEX(Biblioteca!$I$8:$I$17,Biblioteca!$F$24))&amp;"). Depois marque o Dia 1 no Painel: comece na "&amp;IF(Biblioteca!$F$24=0,"",INDEX(Biblioteca!$N$8:$N$17,Biblioteca!$F$24))&amp;", para o Dia 2, de rua, cair num dia de visita.")</f>
        <v/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customFormat="false" ht="24" hidden="false" customHeight="true" outlineLevel="0" collapsed="false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customFormat="false" ht="15" hidden="false" customHeight="false" outlineLevel="0" collapsed="false">
      <c r="B27" s="31" t="str">
        <f aca="false">IF(B16="","",IF(AND(B16="G-10",OR(I8&lt;&gt;"",I12&lt;&gt;"")),"Com CAD, o G-10 vem primeiro: as outras respostas não mudam o resultado.",IF(B16="G-07","Com mais de 8h de máquina, o G-07 vem primeiro, para quem revende ou para quem usa.",IF(I10="Básico","CAD básico conta como não modelar: o G-10 pede peça com encaixe na primeira tentativa.",""))))</f>
        <v/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9" customFormat="false" ht="15" hidden="false" customHeight="false" outlineLevel="0" collapsed="false">
      <c r="B29" s="32" t="s">
        <v>49</v>
      </c>
      <c r="F29" s="32" t="s">
        <v>62</v>
      </c>
      <c r="I29" s="33" t="s">
        <v>63</v>
      </c>
      <c r="J29" s="33"/>
      <c r="K29" s="33"/>
      <c r="L29" s="33"/>
      <c r="M29" s="33"/>
    </row>
    <row r="31" customFormat="false" ht="21.75" hidden="false" customHeight="true" outlineLevel="0" collapsed="false">
      <c r="B31" s="10" t="s">
        <v>64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9.5" hidden="false" customHeight="true" outlineLevel="0" collapsed="false">
      <c r="B32" s="34" t="s">
        <v>65</v>
      </c>
      <c r="C32" s="35" t="s">
        <v>66</v>
      </c>
      <c r="D32" s="35"/>
      <c r="E32" s="35"/>
      <c r="F32" s="36" t="s">
        <v>67</v>
      </c>
      <c r="G32" s="36"/>
      <c r="H32" s="36"/>
      <c r="I32" s="36"/>
      <c r="J32" s="36"/>
      <c r="K32" s="36"/>
      <c r="L32" s="36"/>
      <c r="M32" s="36"/>
    </row>
    <row r="33" customFormat="false" ht="19.5" hidden="false" customHeight="true" outlineLevel="0" collapsed="false">
      <c r="B33" s="34" t="s">
        <v>68</v>
      </c>
      <c r="C33" s="35" t="s">
        <v>69</v>
      </c>
      <c r="D33" s="35"/>
      <c r="E33" s="35"/>
      <c r="F33" s="36" t="s">
        <v>70</v>
      </c>
      <c r="G33" s="36"/>
      <c r="H33" s="36"/>
      <c r="I33" s="36"/>
      <c r="J33" s="36"/>
      <c r="K33" s="36"/>
      <c r="L33" s="36"/>
      <c r="M33" s="36"/>
    </row>
    <row r="34" customFormat="false" ht="19.5" hidden="false" customHeight="true" outlineLevel="0" collapsed="false">
      <c r="B34" s="34" t="s">
        <v>71</v>
      </c>
      <c r="C34" s="35" t="s">
        <v>72</v>
      </c>
      <c r="D34" s="35"/>
      <c r="E34" s="35"/>
      <c r="F34" s="36" t="s">
        <v>73</v>
      </c>
      <c r="G34" s="36"/>
      <c r="H34" s="36"/>
      <c r="I34" s="36"/>
      <c r="J34" s="36"/>
      <c r="K34" s="36"/>
      <c r="L34" s="36"/>
      <c r="M34" s="36"/>
    </row>
    <row r="35" customFormat="false" ht="19.5" hidden="false" customHeight="true" outlineLevel="0" collapsed="false">
      <c r="B35" s="34" t="s">
        <v>74</v>
      </c>
      <c r="C35" s="35" t="s">
        <v>75</v>
      </c>
      <c r="D35" s="35"/>
      <c r="E35" s="35"/>
      <c r="F35" s="36" t="s">
        <v>76</v>
      </c>
      <c r="G35" s="36"/>
      <c r="H35" s="36"/>
      <c r="I35" s="36"/>
      <c r="J35" s="36"/>
      <c r="K35" s="36"/>
      <c r="L35" s="36"/>
      <c r="M35" s="36"/>
    </row>
    <row r="36" customFormat="false" ht="19.5" hidden="false" customHeight="true" outlineLevel="0" collapsed="false">
      <c r="B36" s="34" t="s">
        <v>77</v>
      </c>
      <c r="C36" s="35" t="s">
        <v>78</v>
      </c>
      <c r="D36" s="35"/>
      <c r="E36" s="35"/>
      <c r="F36" s="36" t="s">
        <v>79</v>
      </c>
      <c r="G36" s="36"/>
      <c r="H36" s="36"/>
      <c r="I36" s="36"/>
      <c r="J36" s="36"/>
      <c r="K36" s="36"/>
      <c r="L36" s="36"/>
      <c r="M36" s="36"/>
    </row>
    <row r="37" customFormat="false" ht="19.5" hidden="false" customHeight="true" outlineLevel="0" collapsed="false">
      <c r="B37" s="34" t="s">
        <v>80</v>
      </c>
      <c r="C37" s="35" t="s">
        <v>81</v>
      </c>
      <c r="D37" s="35"/>
      <c r="E37" s="35"/>
      <c r="F37" s="36" t="s">
        <v>82</v>
      </c>
      <c r="G37" s="36"/>
      <c r="H37" s="36"/>
      <c r="I37" s="36"/>
      <c r="J37" s="36"/>
      <c r="K37" s="36"/>
      <c r="L37" s="36"/>
      <c r="M37" s="36"/>
    </row>
    <row r="39" customFormat="false" ht="21.75" hidden="false" customHeight="true" outlineLevel="0" collapsed="false">
      <c r="B39" s="37" t="s">
        <v>83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customFormat="false" ht="21.75" hidden="false" customHeight="true" outlineLevel="0" collapsed="false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</sheetData>
  <mergeCells count="41">
    <mergeCell ref="B8:B9"/>
    <mergeCell ref="C8:H8"/>
    <mergeCell ref="I8:L9"/>
    <mergeCell ref="M8:M9"/>
    <mergeCell ref="C9:H9"/>
    <mergeCell ref="B10:B11"/>
    <mergeCell ref="C10:H10"/>
    <mergeCell ref="I10:L11"/>
    <mergeCell ref="M10:M11"/>
    <mergeCell ref="C11:H11"/>
    <mergeCell ref="B12:B13"/>
    <mergeCell ref="C12:H12"/>
    <mergeCell ref="I12:L13"/>
    <mergeCell ref="M12:M13"/>
    <mergeCell ref="C13:H13"/>
    <mergeCell ref="B16:D19"/>
    <mergeCell ref="E16:M16"/>
    <mergeCell ref="E17:M17"/>
    <mergeCell ref="E18:M19"/>
    <mergeCell ref="B21:E21"/>
    <mergeCell ref="F21:I21"/>
    <mergeCell ref="J21:M21"/>
    <mergeCell ref="B22:E22"/>
    <mergeCell ref="F22:I22"/>
    <mergeCell ref="J22:M22"/>
    <mergeCell ref="B25:M26"/>
    <mergeCell ref="B27:M27"/>
    <mergeCell ref="I29:M29"/>
    <mergeCell ref="C32:E32"/>
    <mergeCell ref="F32:M32"/>
    <mergeCell ref="C33:E33"/>
    <mergeCell ref="F33:M33"/>
    <mergeCell ref="C34:E34"/>
    <mergeCell ref="F34:M34"/>
    <mergeCell ref="C35:E35"/>
    <mergeCell ref="F35:M35"/>
    <mergeCell ref="C36:E36"/>
    <mergeCell ref="F36:M36"/>
    <mergeCell ref="C37:E37"/>
    <mergeCell ref="F37:M37"/>
    <mergeCell ref="B39:M40"/>
  </mergeCells>
  <conditionalFormatting sqref="B32:M37">
    <cfRule type="expression" priority="2" aboveAverage="0" equalAverage="0" bottom="0" percent="0" rank="0" text="" dxfId="0">
      <formula>$B32=$B$16</formula>
    </cfRule>
  </conditionalFormatting>
  <dataValidations count="3">
    <dataValidation allowBlank="true" errorStyle="stop" operator="between" showDropDown="false" showErrorMessage="false" showInputMessage="false" sqref="I8" type="list">
      <formula1>"Menos de 3h,De 3h a 8h,Mais de 8h"</formula1>
      <formula2>0</formula2>
    </dataValidation>
    <dataValidation allowBlank="true" errorStyle="stop" operator="between" showDropDown="false" showErrorMessage="false" showInputMessage="false" sqref="I10" type="list">
      <formula1>"Não,Básico,Sim,peça com encaixe"</formula1>
      <formula2>0</formula2>
    </dataValidation>
    <dataValidation allowBlank="true" errorStyle="stop" operator="between" showDropDown="false" showErrorMessage="false" showInputMessage="false" sqref="I12" type="list">
      <formula1>"Para quem revende,Para quem usa"</formula1>
      <formula2>0</formula2>
    </dataValidation>
  </dataValidations>
  <hyperlinks>
    <hyperlink ref="M6" location="'Painel'!A1" display="Ir para o Painel →"/>
    <hyperlink ref="B29" location="'Painel'!A1" display="Ir para o Painel →"/>
    <hyperlink ref="F29" location="'Missão 72h'!A1" display="Abrir a Missão 72h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01A"/>
    <pageSetUpPr fitToPage="true"/>
  </sheetPr>
  <dimension ref="A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2" min="10" style="0" width="14"/>
    <col collapsed="false" customWidth="true" hidden="false" outlineLevel="0" max="13" min="13" style="0" width="16"/>
    <col collapsed="false" customWidth="true" hidden="false" outlineLevel="0" max="14" min="14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30" hidden="false" customHeight="true" outlineLevel="0" collapsed="false">
      <c r="A3" s="1"/>
      <c r="B3" s="3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9.5" hidden="false" customHeight="true" outlineLevel="0" collapsed="false">
      <c r="A4" s="1"/>
      <c r="B4" s="4" t="s">
        <v>84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8" hidden="false" customHeight="true" outlineLevel="0" collapsed="false">
      <c r="K6" s="18" t="s">
        <v>85</v>
      </c>
      <c r="M6" s="18" t="s">
        <v>86</v>
      </c>
    </row>
    <row r="7" customFormat="false" ht="30" hidden="false" customHeight="true" outlineLevel="0" collapsed="false">
      <c r="B7" s="38" t="s">
        <v>87</v>
      </c>
      <c r="C7" s="38"/>
      <c r="D7" s="38"/>
      <c r="E7" s="39" t="str">
        <f aca="false">IF(E8&lt;&gt;"",E8,Biblioteca!$F$23)</f>
        <v/>
      </c>
      <c r="F7" s="39"/>
      <c r="G7" s="39"/>
      <c r="H7" s="39"/>
      <c r="J7" s="40" t="s">
        <v>88</v>
      </c>
      <c r="K7" s="41"/>
      <c r="L7" s="42" t="str">
        <f aca="false">IF(OR(K7="",E7=""),"← data do Dia 1",IF(ISNUMBER(SEARCH(WEEKDAY(K7+1,2),IF(Biblioteca!$F$22=0,"",INDEX(Biblioteca!$M$8:$M$17,Biblioteca!$F$22)))),"✓ Dia 2 na "&amp;CHOOSE(WEEKDAY(K7+1,2),"segunda","terça","quarta","quinta","sexta","sábado","domingo")&amp;": dia de visita","⚠ Dia 2 cai no(a) "&amp;CHOOSE(WEEKDAY(K7+1,2),"segunda","terça","quarta","quinta","sexta","sábado","domingo")&amp;". Comece na "&amp;IF(Biblioteca!$F$22=0,"",INDEX(Biblioteca!$N$8:$N$17,Biblioteca!$F$22))))</f>
        <v>← data do Dia 1</v>
      </c>
      <c r="M7" s="42"/>
    </row>
    <row r="8" customFormat="false" ht="19.5" hidden="false" customHeight="true" outlineLevel="0" collapsed="false">
      <c r="B8" s="43" t="s">
        <v>89</v>
      </c>
      <c r="C8" s="43"/>
      <c r="D8" s="43"/>
      <c r="E8" s="44"/>
      <c r="F8" s="44"/>
      <c r="G8" s="44"/>
      <c r="H8" s="44"/>
      <c r="J8" s="45" t="s">
        <v>90</v>
      </c>
      <c r="K8" s="45"/>
      <c r="L8" s="46" t="str">
        <f aca="false">IF(E8&lt;&gt;"","troca manual ativa","")</f>
        <v/>
      </c>
      <c r="M8" s="46"/>
    </row>
    <row r="9" customFormat="false" ht="18" hidden="false" customHeight="true" outlineLevel="0" collapsed="false">
      <c r="B9" s="47" t="str">
        <f aca="false">IF(E7="","Responda as três perguntas na aba Seletor: o seu G-Code aparece aqui sozinho.",IF(Biblioteca!$F$22=0,"",INDEX(Biblioteca!$D$8:$D$17,Biblioteca!$F$22))&amp;" · ticket do 1º pedido "&amp;IF(Biblioteca!$F$22=0,"",INDEX(Biblioteca!$E$8:$E$17,Biblioteca!$F$22))&amp;" · "&amp;IF(Biblioteca!$F$22=0,"",INDEX(Biblioteca!$F$8:$F$17,Biblioteca!$F$22))&amp;" · visite "&amp;IF(Biblioteca!$F$22=0,"",INDEX(Biblioteca!$G$8:$G$17,Biblioteca!$F$22))&amp;" · comece a missão na "&amp;IF(Biblioteca!$F$22=0,"",INDEX(Biblioteca!$N$8:$N$17,Biblioteca!$F$22)))</f>
        <v>Responda as três perguntas na aba Seletor: o seu G-Code aparece aqui sozinho.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customFormat="false" ht="18" hidden="false" customHeight="true" outlineLevel="0" collapsed="false">
      <c r="B10" s="48" t="s">
        <v>91</v>
      </c>
      <c r="C10" s="48"/>
      <c r="D10" s="48"/>
      <c r="E10" s="49" t="s">
        <v>92</v>
      </c>
      <c r="F10" s="49"/>
      <c r="G10" s="49"/>
      <c r="H10" s="49" t="s">
        <v>93</v>
      </c>
      <c r="I10" s="49"/>
      <c r="J10" s="49"/>
      <c r="K10" s="49" t="s">
        <v>94</v>
      </c>
      <c r="L10" s="49"/>
      <c r="M10" s="49"/>
    </row>
    <row r="11" customFormat="false" ht="33.75" hidden="false" customHeight="true" outlineLevel="0" collapsed="false">
      <c r="B11" s="50" t="str">
        <f aca="true">IF(K7="","—",IF(TODAY()&lt;K7,"Começa em "&amp;(K7-TODAY())&amp;" dia(s)",IF(TODAY()-K7+1&lt;=3,"Dia "&amp;(TODAY()-K7+1)&amp;" de 3","Semana 2")))</f>
        <v>—</v>
      </c>
      <c r="C11" s="50"/>
      <c r="D11" s="50"/>
      <c r="E11" s="51" t="n">
        <f aca="false">(SUMPRODUCT(('Missão 72h'!$B$8:$B$26&lt;4)*('Missão 72h'!$B$8:$B$26&lt;&gt;"")*('Missão 72h'!$H$8:$H$26="Sim")))/(SUMPRODUCT(('Missão 72h'!$B$8:$B$26&lt;4)*('Missão 72h'!$B$8:$B$26&lt;&gt;"")*1))</f>
        <v>0</v>
      </c>
      <c r="F11" s="51"/>
      <c r="G11" s="51"/>
      <c r="H11" s="52" t="str">
        <f aca="false">(SUMPRODUCT(((Alvos!$C$13:$C$112=Painel!$E$7)+(Alvos!$C$13:$C$112=""))*(Alvos!$D$13:$D$112&lt;&gt;"")*(Alvos!$K$13:$K$112&lt;&gt;"")))&amp;" de 3"</f>
        <v>0 de 3</v>
      </c>
      <c r="I11" s="52"/>
      <c r="J11" s="52"/>
      <c r="K11" s="53" t="str">
        <f aca="false">IF(E7="","—",IF(AND((SUMPRODUCT(((Alvos!$C$13:$C$112=Painel!$E$7)+(Alvos!$C$13:$C$112=""))*(Alvos!$D$13:$D$112&lt;&gt;"")*(Alvos!$M$13:$M$112="Fechou")))+(SUMPRODUCT(((Resultados!$C$9:$C$108=Painel!$E$7)+(Resultados!$C$9:$C$108=""))*(Resultados!$G$9:$G$108&lt;&gt;"")*1))&gt;=1,(SUMPRODUCT(((Expansão!$D$12:$D$111=Painel!$E$7)+(Expansão!$D$12:$D$111=""))*(Expansão!$C$12:$C$111&lt;&gt;"")*(Expansão!$C$12:$C$111&lt;&gt;"Exemplo · apague")))&gt;=1),"Expandindo",IF((SUMPRODUCT(((Alvos!$C$13:$C$112=Painel!$E$7)+(Alvos!$C$13:$C$112=""))*(Alvos!$D$13:$D$112&lt;&gt;"")*(Alvos!$M$13:$M$112="Fechou")))+(SUMPRODUCT(((Resultados!$C$9:$C$108=Painel!$E$7)+(Resultados!$C$9:$C$108=""))*(Resultados!$G$9:$G$108&lt;&gt;"")*1))&gt;=1,"Vendendo",IF((SUMPRODUCT(((Alvos!$C$13:$C$112=Painel!$E$7)+(Alvos!$C$13:$C$112=""))*(Alvos!$D$13:$D$112&lt;&gt;"")*(Alvos!$K$13:$K$112&lt;&gt;"")))&gt;=3,"Missão cumprida",IF((SUMPRODUCT(((Alvos!$C$13:$C$112=Painel!$E$7)+(Alvos!$C$13:$C$112=""))*(Alvos!$D$13:$D$112&lt;&gt;"")*(Alvos!$K$13:$K$112&lt;&gt;"")))&gt;=1,"Com propostas",IF((SUMPRODUCT(((Alvos!$C$13:$C$112=Painel!$E$7)+(Alvos!$C$13:$C$112=""))*(Alvos!$D$13:$D$112&lt;&gt;"")*(Alvos!$I$13:$I$112&lt;&gt;"")))&gt;=1,"Na rua",IF((SUMPRODUCT(((Alvos!$C$13:$C$112=Painel!$E$7)+(Alvos!$C$13:$C$112=""))*(Alvos!$D$13:$D$112&lt;&gt;"")*1))&gt;=1,"Mapeando","Preparando")))))))</f>
        <v>—</v>
      </c>
      <c r="L11" s="53"/>
      <c r="M11" s="53"/>
    </row>
    <row r="12" customFormat="false" ht="18" hidden="false" customHeight="true" outlineLevel="0" collapsed="false">
      <c r="B12" s="54" t="s">
        <v>95</v>
      </c>
      <c r="C12" s="54"/>
      <c r="D12" s="54"/>
      <c r="E12" s="55" t="str">
        <f aca="false">REPT("■",ROUND(((SUMPRODUCT(('Missão 72h'!$B$8:$B$26&lt;4)*('Missão 72h'!$B$8:$B$26&lt;&gt;"")*('Missão 72h'!$H$8:$H$26="Sim")))/(SUMPRODUCT(('Missão 72h'!$B$8:$B$26&lt;4)*('Missão 72h'!$B$8:$B$26&lt;&gt;"")*1)))*20,0))&amp;REPT("□",20-ROUND(((SUMPRODUCT(('Missão 72h'!$B$8:$B$26&lt;4)*('Missão 72h'!$B$8:$B$26&lt;&gt;"")*('Missão 72h'!$H$8:$H$26="Sim")))/(SUMPRODUCT(('Missão 72h'!$B$8:$B$26&lt;4)*('Missão 72h'!$B$8:$B$26&lt;&gt;"")*1)))*20,0))</f>
        <v>□□□□□□□□□□□□□□□□□□□□</v>
      </c>
      <c r="F12" s="55"/>
      <c r="G12" s="55"/>
      <c r="H12" s="55" t="s">
        <v>96</v>
      </c>
      <c r="I12" s="55"/>
      <c r="J12" s="55"/>
      <c r="K12" s="55" t="s">
        <v>97</v>
      </c>
      <c r="L12" s="55"/>
      <c r="M12" s="55"/>
    </row>
    <row r="14" customFormat="false" ht="21.75" hidden="false" customHeight="true" outlineLevel="0" collapsed="false">
      <c r="B14" s="10" t="s">
        <v>98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24" hidden="false" customHeight="true" outlineLevel="0" collapsed="false">
      <c r="B15" s="56" t="str">
        <f aca="false">IF(E7="","Responda as três perguntas na aba Seletor.",IF(K7="","Marque a data do Dia 1 ao lado do G-Code.",IFERROR("Dia "&amp;INDEX('Missão 72h'!$B$8:$B$26,MATCH("Não",'Missão 72h'!$H$8:$H$26,0))&amp;": "&amp;INDEX('Missão 72h'!$D$8:$D$26,MATCH("Não",'Missão 72h'!$H$8:$H$26,0)),"Tudo marcado. Leia a decisão da semana 2 abaixo.")))</f>
        <v>Responda as três perguntas na aba Seletor.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customFormat="false" ht="24" hidden="false" customHeight="true" outlineLevel="0" collapsed="false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customFormat="false" ht="15" hidden="false" customHeight="true" outlineLevel="0" collapsed="false">
      <c r="B17" s="57" t="s">
        <v>99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9" customFormat="false" ht="21.75" hidden="false" customHeight="true" outlineLevel="0" collapsed="false">
      <c r="B19" s="10" t="s">
        <v>100</v>
      </c>
      <c r="C19" s="1"/>
      <c r="D19" s="1"/>
      <c r="E19" s="1"/>
      <c r="F19" s="1"/>
      <c r="G19" s="1"/>
      <c r="I19" s="10" t="s">
        <v>101</v>
      </c>
      <c r="J19" s="1"/>
      <c r="K19" s="1"/>
      <c r="L19" s="1"/>
      <c r="M19" s="1"/>
    </row>
    <row r="20" customFormat="false" ht="21.75" hidden="false" customHeight="true" outlineLevel="0" collapsed="false">
      <c r="B20" s="58" t="s">
        <v>102</v>
      </c>
      <c r="C20" s="58" t="s">
        <v>103</v>
      </c>
      <c r="D20" s="58" t="s">
        <v>104</v>
      </c>
      <c r="E20" s="59" t="s">
        <v>105</v>
      </c>
      <c r="F20" s="59"/>
      <c r="G20" s="59"/>
      <c r="I20" s="60" t="s">
        <v>106</v>
      </c>
      <c r="J20" s="61" t="str">
        <f aca="false">IF(Biblioteca!$F$22=0,"",INDEX(Biblioteca!$D$8:$D$17,Biblioteca!$F$22))</f>
        <v/>
      </c>
      <c r="K20" s="61"/>
      <c r="L20" s="61"/>
      <c r="M20" s="61"/>
    </row>
    <row r="21" customFormat="false" ht="21.75" hidden="false" customHeight="true" outlineLevel="0" collapsed="false">
      <c r="B21" s="61" t="s">
        <v>107</v>
      </c>
      <c r="C21" s="62" t="n">
        <f aca="false">SUMPRODUCT(((Alvos!$C$13:$C$112=Painel!$E$7)+(Alvos!$C$13:$C$112=""))*(Alvos!$D$13:$D$112&lt;&gt;"")*1)</f>
        <v>0</v>
      </c>
      <c r="D21" s="63" t="n">
        <v>20</v>
      </c>
      <c r="E21" s="64" t="str">
        <f aca="false">REPT("■",MIN(10,ROUND(C21/D21*10,0)))&amp;REPT("□",10-MIN(10,ROUND(C21/D21*10,0)))</f>
        <v>□□□□□□□□□□</v>
      </c>
      <c r="F21" s="64"/>
      <c r="G21" s="64"/>
      <c r="I21" s="60" t="s">
        <v>108</v>
      </c>
      <c r="J21" s="35" t="str">
        <f aca="false">IF(Biblioteca!$F$22=0,"",INDEX(Biblioteca!$E$8:$E$17,Biblioteca!$F$22))</f>
        <v/>
      </c>
      <c r="K21" s="35"/>
      <c r="L21" s="35"/>
      <c r="M21" s="35"/>
    </row>
    <row r="22" customFormat="false" ht="21.75" hidden="false" customHeight="true" outlineLevel="0" collapsed="false">
      <c r="B22" s="61" t="s">
        <v>109</v>
      </c>
      <c r="C22" s="62" t="n">
        <f aca="false">SUMPRODUCT(((Alvos!$C$13:$C$112=Painel!$E$7)+(Alvos!$C$13:$C$112=""))*(Alvos!$D$13:$D$112&lt;&gt;"")*(Alvos!$I$13:$I$112&lt;&gt;""))</f>
        <v>0</v>
      </c>
      <c r="D22" s="63" t="n">
        <v>10</v>
      </c>
      <c r="E22" s="64" t="str">
        <f aca="false">REPT("■",MIN(10,ROUND(C22/D22*10,0)))&amp;REPT("□",10-MIN(10,ROUND(C22/D22*10,0)))</f>
        <v>□□□□□□□□□□</v>
      </c>
      <c r="F22" s="64"/>
      <c r="G22" s="64"/>
      <c r="I22" s="60" t="s">
        <v>110</v>
      </c>
      <c r="J22" s="35" t="str">
        <f aca="false">IF(Biblioteca!$F$22=0,"",INDEX(Biblioteca!$F$8:$F$17,Biblioteca!$F$22))</f>
        <v/>
      </c>
      <c r="K22" s="35"/>
      <c r="L22" s="35"/>
      <c r="M22" s="35"/>
    </row>
    <row r="23" customFormat="false" ht="21.75" hidden="false" customHeight="true" outlineLevel="0" collapsed="false">
      <c r="B23" s="61" t="s">
        <v>111</v>
      </c>
      <c r="C23" s="62" t="n">
        <f aca="false">SUMPRODUCT(((Alvos!$C$13:$C$112=Painel!$E$7)+(Alvos!$C$13:$C$112=""))*(Alvos!$D$13:$D$112&lt;&gt;"")*(Alvos!$J$13:$J$112="Sim"))</f>
        <v>0</v>
      </c>
      <c r="D23" s="63" t="n">
        <v>3</v>
      </c>
      <c r="E23" s="64" t="str">
        <f aca="false">REPT("■",MIN(10,ROUND(C23/D23*10,0)))&amp;REPT("□",10-MIN(10,ROUND(C23/D23*10,0)))</f>
        <v>□□□□□□□□□□</v>
      </c>
      <c r="F23" s="64"/>
      <c r="G23" s="64"/>
      <c r="I23" s="60" t="s">
        <v>112</v>
      </c>
      <c r="J23" s="61" t="str">
        <f aca="false">IF(Biblioteca!$F$22=0,"",INDEX(Biblioteca!$G$8:$G$17,Biblioteca!$F$22))</f>
        <v/>
      </c>
      <c r="K23" s="61"/>
      <c r="L23" s="61"/>
      <c r="M23" s="61"/>
    </row>
    <row r="24" customFormat="false" ht="30" hidden="false" customHeight="true" outlineLevel="0" collapsed="false">
      <c r="B24" s="35" t="s">
        <v>113</v>
      </c>
      <c r="C24" s="62" t="n">
        <f aca="false">SUMPRODUCT(((Alvos!$C$13:$C$112=Painel!$E$7)+(Alvos!$C$13:$C$112=""))*(Alvos!$D$13:$D$112&lt;&gt;"")*(Alvos!$K$13:$K$112&lt;&gt;""))</f>
        <v>0</v>
      </c>
      <c r="D24" s="63" t="n">
        <v>3</v>
      </c>
      <c r="E24" s="64" t="str">
        <f aca="false">REPT("■",MIN(10,ROUND(C24/D24*10,0)))&amp;REPT("□",10-MIN(10,ROUND(C24/D24*10,0)))</f>
        <v>□□□□□□□□□□</v>
      </c>
      <c r="F24" s="64"/>
      <c r="G24" s="64"/>
      <c r="I24" s="60" t="s">
        <v>114</v>
      </c>
      <c r="J24" s="61" t="str">
        <f aca="false">IF(Biblioteca!$F$22=0,"",INDEX(Biblioteca!$H$8:$H$17,Biblioteca!$F$22))</f>
        <v/>
      </c>
      <c r="K24" s="61"/>
      <c r="L24" s="61"/>
      <c r="M24" s="61"/>
    </row>
    <row r="25" customFormat="false" ht="30" hidden="false" customHeight="true" outlineLevel="0" collapsed="false">
      <c r="B25" s="61" t="s">
        <v>115</v>
      </c>
      <c r="C25" s="62" t="n">
        <f aca="false">SUMPRODUCT(((Alvos!$C$13:$C$112=Painel!$E$7)+(Alvos!$C$13:$C$112=""))*(Alvos!$D$13:$D$112&lt;&gt;"")*(Alvos!$M$13:$M$112="Fechou"))</f>
        <v>0</v>
      </c>
      <c r="D25" s="63" t="n">
        <v>1</v>
      </c>
      <c r="E25" s="64" t="str">
        <f aca="false">REPT("■",MIN(10,ROUND(C25/D25*10,0)))&amp;REPT("□",10-MIN(10,ROUND(C25/D25*10,0)))</f>
        <v>□□□□□□□□□□</v>
      </c>
      <c r="F25" s="64"/>
      <c r="G25" s="64"/>
      <c r="I25" s="60" t="s">
        <v>116</v>
      </c>
      <c r="J25" s="61" t="str">
        <f aca="false">IF(Biblioteca!$F$22=0,"",INDEX(Biblioteca!$J$8:$J$17,Biblioteca!$F$22))</f>
        <v/>
      </c>
      <c r="K25" s="61"/>
      <c r="L25" s="61"/>
      <c r="M25" s="61"/>
    </row>
    <row r="26" customFormat="false" ht="30" hidden="false" customHeight="true" outlineLevel="0" collapsed="false">
      <c r="B26" s="57" t="s">
        <v>117</v>
      </c>
      <c r="C26" s="57"/>
      <c r="D26" s="57"/>
      <c r="E26" s="57"/>
      <c r="F26" s="57"/>
      <c r="G26" s="57"/>
      <c r="I26" s="60" t="s">
        <v>118</v>
      </c>
      <c r="J26" s="61" t="str">
        <f aca="false">IF(Biblioteca!$F$22=0,"",INDEX(Biblioteca!$B$8:$B$17,Biblioteca!$F$22)&amp;" · leia a Cola de balcão antes de entrar")</f>
        <v/>
      </c>
      <c r="K26" s="61"/>
      <c r="L26" s="61"/>
      <c r="M26" s="61"/>
    </row>
    <row r="28" customFormat="false" ht="21.75" hidden="false" customHeight="true" outlineLevel="0" collapsed="false">
      <c r="B28" s="10" t="s">
        <v>119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true" outlineLevel="0" collapsed="false">
      <c r="B29" s="49" t="s">
        <v>120</v>
      </c>
      <c r="C29" s="49"/>
      <c r="D29" s="49"/>
      <c r="E29" s="49" t="s">
        <v>121</v>
      </c>
      <c r="F29" s="49"/>
      <c r="G29" s="49"/>
      <c r="H29" s="49" t="s">
        <v>122</v>
      </c>
      <c r="I29" s="49"/>
      <c r="J29" s="49"/>
      <c r="K29" s="48" t="s">
        <v>123</v>
      </c>
      <c r="L29" s="48"/>
      <c r="M29" s="48"/>
    </row>
    <row r="30" customFormat="false" ht="33.75" hidden="false" customHeight="true" outlineLevel="0" collapsed="false">
      <c r="B30" s="65" t="n">
        <f aca="false">SUMPRODUCT(((Resultados!$C$9:$C$108=Painel!$E$7)+(Resultados!$C$9:$C$108=""))*(Resultados!$G$9:$G$108&lt;&gt;"")*1)</f>
        <v>0</v>
      </c>
      <c r="C30" s="65"/>
      <c r="D30" s="65"/>
      <c r="E30" s="66" t="n">
        <f aca="false">SUMPRODUCT(((Resultados!$C$9:$C$108=Painel!$E$7)+(Resultados!$C$9:$C$108=""))*(Resultados!$G$9:$G$108&lt;&gt;"")*IFERROR(Resultados!$G$9:$G$108*1,0))</f>
        <v>0</v>
      </c>
      <c r="F30" s="66"/>
      <c r="G30" s="66"/>
      <c r="H30" s="66" t="n">
        <f aca="false">SUMPRODUCT(((Resultados!$C$9:$C$108=Painel!$E$7)+(Resultados!$C$9:$C$108=""))*(Resultados!$G$9:$G$108&lt;&gt;"")*IFERROR(Resultados!$L$9:$L$108*1,0))</f>
        <v>0</v>
      </c>
      <c r="I30" s="66"/>
      <c r="J30" s="66"/>
      <c r="K30" s="67" t="str">
        <f aca="false">IF((SUMPRODUCT(((Resultados!$C$9:$C$108=Painel!$E$7)+(Resultados!$C$9:$C$108=""))*(Resultados!$G$9:$G$108&lt;&gt;"")*IFERROR(Resultados!$I$9:$I$108*1,0)))=0,"—",(SUMPRODUCT(((Resultados!$C$9:$C$108=Painel!$E$7)+(Resultados!$C$9:$C$108=""))*(Resultados!$G$9:$G$108&lt;&gt;"")*IFERROR(Resultados!$L$9:$L$108*1,0)))/(SUMPRODUCT(((Resultados!$C$9:$C$108=Painel!$E$7)+(Resultados!$C$9:$C$108=""))*(Resultados!$G$9:$G$108&lt;&gt;"")*IFERROR(Resultados!$I$9:$I$108*1,0))))</f>
        <v>—</v>
      </c>
      <c r="L30" s="67"/>
      <c r="M30" s="67"/>
    </row>
    <row r="31" customFormat="false" ht="15" hidden="false" customHeight="false" outlineLevel="0" collapsed="false">
      <c r="B31" s="55"/>
      <c r="C31" s="55"/>
      <c r="D31" s="55"/>
      <c r="E31" s="55"/>
      <c r="F31" s="55"/>
      <c r="G31" s="55"/>
      <c r="H31" s="55"/>
      <c r="I31" s="55"/>
      <c r="J31" s="55"/>
      <c r="K31" s="54" t="str">
        <f aca="false">IF((SUMPRODUCT(((Resultados!$C$9:$C$108=Painel!$E$7)+(Resultados!$C$9:$C$108=""))*(Resultados!$G$9:$G$108&lt;&gt;"")*IFERROR((Resultados!$N$9:$N$108*1)&lt;Calculadora!$E$12,0)))&gt;0,(SUMPRODUCT(((Resultados!$C$9:$C$108=Painel!$E$7)+(Resultados!$C$9:$C$108=""))*(Resultados!$G$9:$G$108&lt;&gt;"")*IFERROR((Resultados!$N$9:$N$108*1)&lt;Calculadora!$E$12,0)))&amp;" venda(s) abaixo do piso","nenhuma venda abaixo do piso")</f>
        <v>nenhuma venda abaixo do piso</v>
      </c>
      <c r="L31" s="54"/>
      <c r="M31" s="54"/>
    </row>
    <row r="33" customFormat="false" ht="21.75" hidden="false" customHeight="true" outlineLevel="0" collapsed="false">
      <c r="B33" s="10" t="s">
        <v>124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true" outlineLevel="0" collapsed="false">
      <c r="B34" s="49" t="s">
        <v>125</v>
      </c>
      <c r="C34" s="49"/>
      <c r="D34" s="49"/>
      <c r="E34" s="49" t="s">
        <v>126</v>
      </c>
      <c r="F34" s="49"/>
      <c r="G34" s="49"/>
      <c r="H34" s="68" t="s">
        <v>127</v>
      </c>
      <c r="I34" s="68"/>
      <c r="J34" s="68"/>
      <c r="K34" s="68"/>
      <c r="L34" s="68"/>
      <c r="M34" s="68"/>
    </row>
    <row r="35" customFormat="false" ht="33.75" hidden="false" customHeight="true" outlineLevel="0" collapsed="false">
      <c r="B35" s="65" t="n">
        <f aca="false">SUMPRODUCT(((Expansão!$D$12:$D$111=Painel!$E$7)+(Expansão!$D$12:$D$111=""))*(Expansão!$C$12:$C$111&lt;&gt;"")*(Expansão!$C$12:$C$111&lt;&gt;"Exemplo · apague"))</f>
        <v>0</v>
      </c>
      <c r="C35" s="65"/>
      <c r="D35" s="65"/>
      <c r="E35" s="65" t="n">
        <f aca="false">SUMPRODUCT(((Expansão!$D$12:$D$111=Painel!$E$7)+(Expansão!$D$12:$D$111=""))*(Expansão!$C$12:$C$111&lt;&gt;"")*(Expansão!$K$12:$K$111="Fechou"))</f>
        <v>0</v>
      </c>
      <c r="F35" s="65"/>
      <c r="G35" s="65"/>
      <c r="H35" s="68"/>
      <c r="I35" s="68"/>
      <c r="J35" s="68"/>
      <c r="K35" s="68"/>
      <c r="L35" s="68"/>
      <c r="M35" s="68"/>
    </row>
    <row r="36" customFormat="false" ht="15" hidden="false" customHeight="false" outlineLevel="0" collapsed="false">
      <c r="B36" s="55"/>
      <c r="C36" s="55"/>
      <c r="D36" s="55"/>
      <c r="E36" s="55"/>
      <c r="F36" s="55"/>
      <c r="G36" s="55"/>
      <c r="H36" s="68"/>
      <c r="I36" s="68"/>
      <c r="J36" s="68"/>
      <c r="K36" s="68"/>
      <c r="L36" s="68"/>
      <c r="M36" s="68"/>
    </row>
    <row r="38" customFormat="false" ht="21.75" hidden="false" customHeight="true" outlineLevel="0" collapsed="false">
      <c r="B38" s="10" t="s">
        <v>128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25.5" hidden="false" customHeight="true" outlineLevel="0" collapsed="false">
      <c r="B39" s="69" t="str">
        <f aca="false">'Missão 72h'!B29</f>
        <v>RESPONDA O SELETOR</v>
      </c>
      <c r="C39" s="69"/>
      <c r="D39" s="69"/>
      <c r="E39" s="70" t="str">
        <f aca="false">'Missão 72h'!D29</f>
        <v>Responda as três perguntas na aba Seletor.</v>
      </c>
      <c r="F39" s="70"/>
      <c r="G39" s="70"/>
      <c r="H39" s="70"/>
      <c r="I39" s="70"/>
      <c r="J39" s="70"/>
      <c r="K39" s="70"/>
      <c r="L39" s="70"/>
      <c r="M39" s="70"/>
    </row>
    <row r="40" customFormat="false" ht="25.5" hidden="false" customHeight="true" outlineLevel="0" collapsed="false">
      <c r="B40" s="69"/>
      <c r="C40" s="69"/>
      <c r="D40" s="69"/>
      <c r="E40" s="70"/>
      <c r="F40" s="70"/>
      <c r="G40" s="70"/>
      <c r="H40" s="70"/>
      <c r="I40" s="70"/>
      <c r="J40" s="70"/>
      <c r="K40" s="70"/>
      <c r="L40" s="70"/>
      <c r="M40" s="70"/>
    </row>
    <row r="42" customFormat="false" ht="15" hidden="false" customHeight="true" outlineLevel="0" collapsed="false">
      <c r="B42" s="57" t="s">
        <v>129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</sheetData>
  <mergeCells count="58">
    <mergeCell ref="B7:D7"/>
    <mergeCell ref="E7:H7"/>
    <mergeCell ref="L7:M7"/>
    <mergeCell ref="B8:D8"/>
    <mergeCell ref="E8:H8"/>
    <mergeCell ref="J8:K8"/>
    <mergeCell ref="L8:M8"/>
    <mergeCell ref="B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5:M16"/>
    <mergeCell ref="B17:M17"/>
    <mergeCell ref="E20:G20"/>
    <mergeCell ref="J20:M20"/>
    <mergeCell ref="E21:G21"/>
    <mergeCell ref="J21:M21"/>
    <mergeCell ref="E22:G22"/>
    <mergeCell ref="J22:M22"/>
    <mergeCell ref="E23:G23"/>
    <mergeCell ref="J23:M23"/>
    <mergeCell ref="E24:G24"/>
    <mergeCell ref="J24:M24"/>
    <mergeCell ref="E25:G25"/>
    <mergeCell ref="J25:M25"/>
    <mergeCell ref="B26:G26"/>
    <mergeCell ref="J26:M26"/>
    <mergeCell ref="B29:D29"/>
    <mergeCell ref="E29:G29"/>
    <mergeCell ref="H29:J29"/>
    <mergeCell ref="K29:M29"/>
    <mergeCell ref="B30:D30"/>
    <mergeCell ref="E30:G30"/>
    <mergeCell ref="H30:J30"/>
    <mergeCell ref="K30:M30"/>
    <mergeCell ref="B31:D31"/>
    <mergeCell ref="E31:G31"/>
    <mergeCell ref="H31:J31"/>
    <mergeCell ref="K31:M31"/>
    <mergeCell ref="B34:D34"/>
    <mergeCell ref="E34:G34"/>
    <mergeCell ref="H34:M36"/>
    <mergeCell ref="B35:D35"/>
    <mergeCell ref="E35:G35"/>
    <mergeCell ref="B36:D36"/>
    <mergeCell ref="E36:G36"/>
    <mergeCell ref="B39:D40"/>
    <mergeCell ref="E39:M40"/>
    <mergeCell ref="B42:M42"/>
  </mergeCells>
  <conditionalFormatting sqref="L7">
    <cfRule type="expression" priority="2" aboveAverage="0" equalAverage="0" bottom="0" percent="0" rank="0" text="" dxfId="1">
      <formula>AND(K7&lt;&gt;"",E7&lt;&gt;"",ISNUMBER(SEARCH(WEEKDAY(K7+1,2),IF(Biblioteca!$F$22=0,"",INDEX(Biblioteca!$M$8:$M$17,Biblioteca!$F$22)))))</formula>
    </cfRule>
    <cfRule type="expression" priority="3" aboveAverage="0" equalAverage="0" bottom="0" percent="0" rank="0" text="" dxfId="2">
      <formula>AND(K7&lt;&gt;"",E7&lt;&gt;"",NOT(ISNUMBER(SEARCH(WEEKDAY(K7+1,2),IF(Biblioteca!$F$22=0,"",INDEX(Biblioteca!$M$8:$M$17,Biblioteca!$F$22))))))</formula>
    </cfRule>
  </conditionalFormatting>
  <conditionalFormatting sqref="B11">
    <cfRule type="expression" priority="4" aboveAverage="0" equalAverage="0" bottom="0" percent="0" rank="0" text="" dxfId="3">
      <formula>$K$7=""</formula>
    </cfRule>
  </conditionalFormatting>
  <dataValidations count="1">
    <dataValidation allowBlank="true" errorStyle="stop" operator="between" showDropDown="false" showErrorMessage="false" showInputMessage="false" sqref="E8" type="list">
      <formula1>Biblioteca!$C$8:$C$17</formula1>
      <formula2>0</formula2>
    </dataValidation>
  </dataValidations>
  <hyperlinks>
    <hyperlink ref="K6" location="'Seletor'!A1" display="← Seletor"/>
    <hyperlink ref="M6" location="'Missão 72h'!A1" display="Missão 72h →"/>
    <hyperlink ref="J8" location="'Seletor'!A1" display="↺ Refazer o Selet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01A"/>
    <pageSetUpPr fitToPage="tru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4" min="4" style="0" width="58"/>
    <col collapsed="false" customWidth="true" hidden="false" outlineLevel="0" max="6" min="5" style="0" width="22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30" hidden="false" customHeight="true" outlineLevel="0" collapsed="false">
      <c r="A3" s="1"/>
      <c r="B3" s="3" t="s">
        <v>130</v>
      </c>
      <c r="C3" s="1"/>
      <c r="D3" s="1"/>
      <c r="E3" s="1"/>
      <c r="F3" s="1"/>
      <c r="G3" s="1"/>
      <c r="H3" s="1"/>
      <c r="I3" s="1"/>
      <c r="J3" s="1"/>
      <c r="K3" s="1"/>
    </row>
    <row r="4" customFormat="false" ht="19.5" hidden="false" customHeight="true" outlineLevel="0" collapsed="false">
      <c r="A4" s="1"/>
      <c r="B4" s="4" t="s">
        <v>131</v>
      </c>
      <c r="C4" s="1"/>
      <c r="D4" s="1"/>
      <c r="E4" s="1"/>
      <c r="F4" s="1"/>
      <c r="G4" s="1"/>
      <c r="H4" s="1"/>
      <c r="I4" s="1"/>
      <c r="J4" s="1"/>
      <c r="K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8" hidden="false" customHeight="true" outlineLevel="0" collapsed="false">
      <c r="J6" s="18" t="s">
        <v>49</v>
      </c>
    </row>
    <row r="7" customFormat="false" ht="31.5" hidden="false" customHeight="true" outlineLevel="0" collapsed="false">
      <c r="B7" s="58" t="s">
        <v>102</v>
      </c>
      <c r="C7" s="58" t="s">
        <v>132</v>
      </c>
      <c r="D7" s="58" t="s">
        <v>133</v>
      </c>
      <c r="E7" s="58" t="s">
        <v>134</v>
      </c>
      <c r="F7" s="58" t="s">
        <v>135</v>
      </c>
      <c r="G7" s="58" t="s">
        <v>136</v>
      </c>
      <c r="H7" s="58" t="s">
        <v>137</v>
      </c>
    </row>
    <row r="8" customFormat="false" ht="21.75" hidden="false" customHeight="true" outlineLevel="0" collapsed="false">
      <c r="B8" s="10" t="s">
        <v>138</v>
      </c>
      <c r="C8" s="1"/>
      <c r="D8" s="1"/>
      <c r="E8" s="1"/>
      <c r="F8" s="1"/>
      <c r="G8" s="1"/>
      <c r="H8" s="1"/>
      <c r="I8" s="1"/>
      <c r="J8" s="1"/>
    </row>
    <row r="9" customFormat="false" ht="33.75" hidden="false" customHeight="true" outlineLevel="0" collapsed="false">
      <c r="B9" s="71" t="n">
        <v>1</v>
      </c>
      <c r="C9" s="72" t="str">
        <f aca="false">IF(Painel!$K$7="","Dia 1",Painel!$K$7+0)</f>
        <v>Dia 1</v>
      </c>
      <c r="D9" s="35" t="str">
        <f aca="false">"Imprimir dois jogos do kit de amostra: "&amp;IF(Biblioteca!$F$22=0,"",INDEX(Biblioteca!$H$8:$H$17,Biblioteca!$F$22))&amp;IF(Biblioteca!$F$22=0,""," ("&amp;IF(Biblioteca!$F$22=0,"",INDEX(Biblioteca!$I$8:$I$17,Biblioteca!$F$22))&amp;")")</f>
        <v>Imprimir dois jogos do kit de amostra: </v>
      </c>
      <c r="E9" s="73" t="s">
        <v>139</v>
      </c>
      <c r="F9" s="73"/>
      <c r="G9" s="74"/>
      <c r="H9" s="75" t="s">
        <v>140</v>
      </c>
      <c r="I9" s="76" t="str">
        <f aca="true">IF(H9="Sim","Feito",IF(Painel!$K$7="","A fazer",IF(Painel!$K$7+0&lt;TODAY(),"Atrasado",IF(Painel!$K$7+0=TODAY(),"Hoje","A fazer"))))</f>
        <v>A fazer</v>
      </c>
    </row>
    <row r="10" customFormat="false" ht="33.75" hidden="false" customHeight="true" outlineLevel="0" collapsed="false">
      <c r="B10" s="71" t="n">
        <v>1</v>
      </c>
      <c r="C10" s="72" t="str">
        <f aca="false">IF(Painel!$K$7="","Dia 1",Painel!$K$7+0)</f>
        <v>Dia 1</v>
      </c>
      <c r="D10" s="35" t="str">
        <f aca="false">"Montar a embalagem e imprimir a proposta com os três níveis de preço"</f>
        <v>Montar a embalagem e imprimir a proposta com os três níveis de preço</v>
      </c>
      <c r="E10" s="73" t="s">
        <v>141</v>
      </c>
      <c r="F10" s="73"/>
      <c r="G10" s="74"/>
      <c r="H10" s="75" t="s">
        <v>140</v>
      </c>
      <c r="I10" s="76" t="str">
        <f aca="true">IF(H10="Sim","Feito",IF(Painel!$K$7="","A fazer",IF(Painel!$K$7+0&lt;TODAY(),"Atrasado",IF(Painel!$K$7+0=TODAY(),"Hoje","A fazer"))))</f>
        <v>A fazer</v>
      </c>
    </row>
    <row r="11" customFormat="false" ht="33.75" hidden="false" customHeight="true" outlineLevel="0" collapsed="false">
      <c r="B11" s="71" t="n">
        <v>1</v>
      </c>
      <c r="C11" s="72" t="str">
        <f aca="false">IF(Painel!$K$7="","Dia 1",Painel!$K$7+0)</f>
        <v>Dia 1</v>
      </c>
      <c r="D11" s="35" t="str">
        <f aca="false">"Listar 20 alvos na aba Alvos, com os sinais da seção 02 do manual"</f>
        <v>Listar 20 alvos na aba Alvos, com os sinais da seção 02 do manual</v>
      </c>
      <c r="E11" s="73" t="s">
        <v>142</v>
      </c>
      <c r="F11" s="73"/>
      <c r="G11" s="74" t="str">
        <f aca="false">(SUMPRODUCT(((Alvos!$C$13:$C$112=Painel!$E$7)+(Alvos!$C$13:$C$112=""))*(Alvos!$D$13:$D$112&lt;&gt;"")*1))&amp;" de 20 alvos"</f>
        <v>0 de 20 alvos</v>
      </c>
      <c r="H11" s="75" t="s">
        <v>140</v>
      </c>
      <c r="I11" s="76" t="str">
        <f aca="true">IF(H11="Sim","Feito",IF(Painel!$K$7="","A fazer",IF(Painel!$K$7+0&lt;TODAY(),"Atrasado",IF(Painel!$K$7+0=TODAY(),"Hoje","A fazer"))))</f>
        <v>A fazer</v>
      </c>
    </row>
    <row r="12" customFormat="false" ht="33.75" hidden="false" customHeight="true" outlineLevel="0" collapsed="false">
      <c r="B12" s="71" t="n">
        <v>1</v>
      </c>
      <c r="C12" s="72" t="str">
        <f aca="false">IF(Painel!$K$7="","Dia 1",Painel!$K$7+0)</f>
        <v>Dia 1</v>
      </c>
      <c r="D12" s="35" t="str">
        <f aca="false">"Decorar o script de 40 segundos e as seis respostas de objeção"</f>
        <v>Decorar o script de 40 segundos e as seis respostas de objeção</v>
      </c>
      <c r="E12" s="73" t="s">
        <v>143</v>
      </c>
      <c r="F12" s="73"/>
      <c r="G12" s="74"/>
      <c r="H12" s="75" t="s">
        <v>140</v>
      </c>
      <c r="I12" s="76" t="str">
        <f aca="true">IF(H12="Sim","Feito",IF(Painel!$K$7="","A fazer",IF(Painel!$K$7+0&lt;TODAY(),"Atrasado",IF(Painel!$K$7+0=TODAY(),"Hoje","A fazer"))))</f>
        <v>A fazer</v>
      </c>
    </row>
    <row r="13" customFormat="false" ht="21.75" hidden="false" customHeight="true" outlineLevel="0" collapsed="false">
      <c r="B13" s="10" t="s">
        <v>144</v>
      </c>
      <c r="C13" s="1"/>
      <c r="D13" s="1"/>
      <c r="E13" s="1"/>
      <c r="F13" s="1"/>
      <c r="G13" s="1"/>
      <c r="H13" s="1"/>
      <c r="I13" s="1"/>
      <c r="J13" s="1"/>
    </row>
    <row r="14" customFormat="false" ht="33.75" hidden="false" customHeight="true" outlineLevel="0" collapsed="false">
      <c r="B14" s="71" t="n">
        <v>2</v>
      </c>
      <c r="C14" s="72" t="str">
        <f aca="false">IF(Painel!$K$7="","Dia 2",Painel!$K$7+1)</f>
        <v>Dia 2</v>
      </c>
      <c r="D14" s="35" t="str">
        <f aca="false">"Visitar 10 alvos"&amp;IF(Biblioteca!$F$22=0,""," · "&amp;IF(Biblioteca!$F$22=0,"",INDEX(Biblioteca!$G$8:$G$17,Biblioteca!$F$22)))</f>
        <v>Visitar 10 alvos</v>
      </c>
      <c r="E14" s="73" t="s">
        <v>145</v>
      </c>
      <c r="F14" s="73"/>
      <c r="G14" s="74" t="str">
        <f aca="false">(SUMPRODUCT(((Alvos!$C$13:$C$112=Painel!$E$7)+(Alvos!$C$13:$C$112=""))*(Alvos!$D$13:$D$112&lt;&gt;"")*(Alvos!$I$13:$I$112&lt;&gt;"")))&amp;" de 10 visitas"</f>
        <v>0 de 10 visitas</v>
      </c>
      <c r="H14" s="75" t="s">
        <v>140</v>
      </c>
      <c r="I14" s="76" t="str">
        <f aca="true">IF(H14="Sim","Feito",IF(Painel!$K$7="","A fazer",IF(Painel!$K$7+1&lt;TODAY(),"Atrasado",IF(Painel!$K$7+1=TODAY(),"Hoje","A fazer"))))</f>
        <v>A fazer</v>
      </c>
    </row>
    <row r="15" customFormat="false" ht="33.75" hidden="false" customHeight="true" outlineLevel="0" collapsed="false">
      <c r="B15" s="71" t="n">
        <v>2</v>
      </c>
      <c r="C15" s="72" t="str">
        <f aca="false">IF(Painel!$K$7="","Dia 2",Painel!$K$7+1)</f>
        <v>Dia 2</v>
      </c>
      <c r="D15" s="35" t="str">
        <f aca="false">"Entregar 3 propostas na mão de quem decide"</f>
        <v>Entregar 3 propostas na mão de quem decide</v>
      </c>
      <c r="E15" s="73" t="s">
        <v>146</v>
      </c>
      <c r="F15" s="73"/>
      <c r="G15" s="74" t="str">
        <f aca="false">(SUMPRODUCT(((Alvos!$C$13:$C$112=Painel!$E$7)+(Alvos!$C$13:$C$112=""))*(Alvos!$D$13:$D$112&lt;&gt;"")*(Alvos!$K$13:$K$112&lt;&gt;"")))&amp;" de 3 propostas"</f>
        <v>0 de 3 propostas</v>
      </c>
      <c r="H15" s="75" t="s">
        <v>140</v>
      </c>
      <c r="I15" s="76" t="str">
        <f aca="true">IF(H15="Sim","Feito",IF(Painel!$K$7="","A fazer",IF(Painel!$K$7+1&lt;TODAY(),"Atrasado",IF(Painel!$K$7+1=TODAY(),"Hoje","A fazer"))))</f>
        <v>A fazer</v>
      </c>
    </row>
    <row r="16" customFormat="false" ht="33.75" hidden="false" customHeight="true" outlineLevel="0" collapsed="false">
      <c r="B16" s="71" t="n">
        <v>2</v>
      </c>
      <c r="C16" s="72" t="str">
        <f aca="false">IF(Painel!$K$7="","Dia 2",Painel!$K$7+1)</f>
        <v>Dia 2</v>
      </c>
      <c r="D16" s="35" t="str">
        <f aca="false">"Anotar toda objeção com as palavras exatas, no carro"</f>
        <v>Anotar toda objeção com as palavras exatas, no carro</v>
      </c>
      <c r="E16" s="73" t="s">
        <v>147</v>
      </c>
      <c r="F16" s="73"/>
      <c r="G16" s="74"/>
      <c r="H16" s="75" t="s">
        <v>140</v>
      </c>
      <c r="I16" s="76" t="str">
        <f aca="true">IF(H16="Sim","Feito",IF(Painel!$K$7="","A fazer",IF(Painel!$K$7+1&lt;TODAY(),"Atrasado",IF(Painel!$K$7+1=TODAY(),"Hoje","A fazer"))))</f>
        <v>A fazer</v>
      </c>
    </row>
    <row r="17" customFormat="false" ht="21.75" hidden="false" customHeight="true" outlineLevel="0" collapsed="false">
      <c r="B17" s="10" t="s">
        <v>148</v>
      </c>
      <c r="C17" s="1"/>
      <c r="D17" s="1"/>
      <c r="E17" s="1"/>
      <c r="F17" s="1"/>
      <c r="G17" s="1"/>
      <c r="H17" s="1"/>
      <c r="I17" s="1"/>
      <c r="J17" s="1"/>
    </row>
    <row r="18" customFormat="false" ht="33.75" hidden="false" customHeight="true" outlineLevel="0" collapsed="false">
      <c r="B18" s="71" t="n">
        <v>3</v>
      </c>
      <c r="C18" s="72" t="str">
        <f aca="false">IF(Painel!$K$7="","Dia 3",Painel!$K$7+2)</f>
        <v>Dia 3</v>
      </c>
      <c r="D18" s="35" t="str">
        <f aca="false">"Mandar o follow-up para as três propostas (seção 10)"</f>
        <v>Mandar o follow-up para as três propostas (seção 10)</v>
      </c>
      <c r="E18" s="73" t="s">
        <v>149</v>
      </c>
      <c r="F18" s="73"/>
      <c r="G18" s="74"/>
      <c r="H18" s="75" t="s">
        <v>140</v>
      </c>
      <c r="I18" s="76" t="str">
        <f aca="true">IF(H18="Sim","Feito",IF(Painel!$K$7="","A fazer",IF(Painel!$K$7+2&lt;TODAY(),"Atrasado",IF(Painel!$K$7+2=TODAY(),"Hoje","A fazer"))))</f>
        <v>A fazer</v>
      </c>
    </row>
    <row r="19" customFormat="false" ht="33.75" hidden="false" customHeight="true" outlineLevel="0" collapsed="false">
      <c r="B19" s="71" t="n">
        <v>3</v>
      </c>
      <c r="C19" s="72" t="str">
        <f aca="false">IF(Painel!$K$7="","Dia 3",Painel!$K$7+2)</f>
        <v>Dia 3</v>
      </c>
      <c r="D19" s="35" t="str">
        <f aca="false">"Registrar tudo na aba Alvos, com a data de volta de cada um"</f>
        <v>Registrar tudo na aba Alvos, com a data de volta de cada um</v>
      </c>
      <c r="E19" s="73" t="s">
        <v>150</v>
      </c>
      <c r="F19" s="73"/>
      <c r="G19" s="74"/>
      <c r="H19" s="75" t="s">
        <v>140</v>
      </c>
      <c r="I19" s="76" t="str">
        <f aca="true">IF(H19="Sim","Feito",IF(Painel!$K$7="","A fazer",IF(Painel!$K$7+2&lt;TODAY(),"Atrasado",IF(Painel!$K$7+2=TODAY(),"Hoje","A fazer"))))</f>
        <v>A fazer</v>
      </c>
    </row>
    <row r="20" customFormat="false" ht="33.75" hidden="false" customHeight="true" outlineLevel="0" collapsed="false">
      <c r="B20" s="71" t="n">
        <v>3</v>
      </c>
      <c r="C20" s="72" t="str">
        <f aca="false">IF(Painel!$K$7="","Dia 3",Painel!$K$7+2)</f>
        <v>Dia 3</v>
      </c>
      <c r="D20" s="35" t="str">
        <f aca="false">"Anotar as oportunidades ouvidas no balcão"</f>
        <v>Anotar as oportunidades ouvidas no balcão</v>
      </c>
      <c r="E20" s="73" t="s">
        <v>151</v>
      </c>
      <c r="F20" s="73"/>
      <c r="G20" s="74"/>
      <c r="H20" s="75" t="s">
        <v>140</v>
      </c>
      <c r="I20" s="76" t="str">
        <f aca="true">IF(H20="Sim","Feito",IF(Painel!$K$7="","A fazer",IF(Painel!$K$7+2&lt;TODAY(),"Atrasado",IF(Painel!$K$7+2=TODAY(),"Hoje","A fazer"))))</f>
        <v>A fazer</v>
      </c>
    </row>
    <row r="21" customFormat="false" ht="33.75" hidden="false" customHeight="true" outlineLevel="0" collapsed="false">
      <c r="B21" s="71" t="n">
        <v>3</v>
      </c>
      <c r="C21" s="72" t="str">
        <f aca="false">IF(Painel!$K$7="","Dia 3",Painel!$K$7+2)</f>
        <v>Dia 3</v>
      </c>
      <c r="D21" s="35" t="str">
        <f aca="false">"Marcar na agenda a data da segunda leva de 10 visitas"</f>
        <v>Marcar na agenda a data da segunda leva de 10 visitas</v>
      </c>
      <c r="E21" s="73" t="s">
        <v>152</v>
      </c>
      <c r="F21" s="73"/>
      <c r="G21" s="74"/>
      <c r="H21" s="75" t="s">
        <v>140</v>
      </c>
      <c r="I21" s="76" t="str">
        <f aca="true">IF(H21="Sim","Feito",IF(Painel!$K$7="","A fazer",IF(Painel!$K$7+2&lt;TODAY(),"Atrasado",IF(Painel!$K$7+2=TODAY(),"Hoje","A fazer"))))</f>
        <v>A fazer</v>
      </c>
    </row>
    <row r="22" customFormat="false" ht="21.75" hidden="false" customHeight="true" outlineLevel="0" collapsed="false">
      <c r="B22" s="77" t="s">
        <v>153</v>
      </c>
      <c r="C22" s="78"/>
      <c r="D22" s="78"/>
      <c r="E22" s="78"/>
      <c r="F22" s="78"/>
      <c r="G22" s="78"/>
      <c r="H22" s="78"/>
      <c r="I22" s="78"/>
      <c r="J22" s="78"/>
    </row>
    <row r="23" customFormat="false" ht="33.75" hidden="false" customHeight="true" outlineLevel="0" collapsed="false">
      <c r="B23" s="71" t="n">
        <v>4</v>
      </c>
      <c r="C23" s="72" t="str">
        <f aca="false">IF(Painel!$K$7="","Dias 4 a 10",Painel!$K$7+3)</f>
        <v>Dias 4 a 10</v>
      </c>
      <c r="D23" s="35" t="str">
        <f aca="false">"Voltar nos alvos com amostra ou proposta, no dia combinado"</f>
        <v>Voltar nos alvos com amostra ou proposta, no dia combinado</v>
      </c>
      <c r="E23" s="73" t="s">
        <v>154</v>
      </c>
      <c r="F23" s="73"/>
      <c r="G23" s="74" t="str">
        <f aca="true">(SUMPRODUCT(((Alvos!$C$13:$C$112=Painel!$E$7)+(Alvos!$C$13:$C$112=""))*(Alvos!$D$13:$D$112&lt;&gt;"")*(Alvos!$P$13:$P$112&lt;&gt;"")*(Alvos!$P$13:$P$112&lt;=TODAY())))&amp;" contatos para hoje ou atrasados"</f>
        <v>0 contatos para hoje ou atrasados</v>
      </c>
      <c r="H23" s="75" t="s">
        <v>140</v>
      </c>
      <c r="I23" s="76" t="str">
        <f aca="true">IF(H23="Sim","Feito",IF(Painel!$K$7="","A fazer",IF(Painel!$K$7+3&lt;TODAY(),"Atrasado",IF(Painel!$K$7+3=TODAY(),"Hoje","A fazer"))))</f>
        <v>A fazer</v>
      </c>
    </row>
    <row r="24" customFormat="false" ht="33.75" hidden="false" customHeight="true" outlineLevel="0" collapsed="false">
      <c r="B24" s="71" t="n">
        <v>4</v>
      </c>
      <c r="C24" s="72" t="str">
        <f aca="false">IF(Painel!$K$7="","Dias 4 a 10",Painel!$K$7+3)</f>
        <v>Dias 4 a 10</v>
      </c>
      <c r="D24" s="35" t="str">
        <f aca="false">"Fazer a segunda leva de 10 visitas, já com as objeções reais anotadas"</f>
        <v>Fazer a segunda leva de 10 visitas, já com as objeções reais anotadas</v>
      </c>
      <c r="E24" s="73" t="s">
        <v>155</v>
      </c>
      <c r="F24" s="73"/>
      <c r="G24" s="74" t="str">
        <f aca="false">(SUMPRODUCT(((Alvos!$C$13:$C$112=Painel!$E$7)+(Alvos!$C$13:$C$112=""))*(Alvos!$D$13:$D$112&lt;&gt;"")*(Alvos!$I$13:$I$112&lt;&gt;"")))&amp;" de 20 visitas"</f>
        <v>0 de 20 visitas</v>
      </c>
      <c r="H24" s="75" t="s">
        <v>140</v>
      </c>
      <c r="I24" s="76" t="str">
        <f aca="true">IF(H24="Sim","Feito",IF(Painel!$K$7="","A fazer",IF(Painel!$K$7+3&lt;TODAY(),"Atrasado",IF(Painel!$K$7+3=TODAY(),"Hoje","A fazer"))))</f>
        <v>A fazer</v>
      </c>
    </row>
    <row r="25" customFormat="false" ht="33.75" hidden="false" customHeight="true" outlineLevel="0" collapsed="false">
      <c r="B25" s="71" t="n">
        <v>4</v>
      </c>
      <c r="C25" s="72" t="str">
        <f aca="false">IF(Painel!$K$7="","Dias 4 a 10",Painel!$K$7+3)</f>
        <v>Dias 4 a 10</v>
      </c>
      <c r="D25" s="35" t="str">
        <f aca="false">"Produzir o primeiro pedido e conferir com a lista da seção 05"</f>
        <v>Produzir o primeiro pedido e conferir com a lista da seção 05</v>
      </c>
      <c r="E25" s="73" t="s">
        <v>156</v>
      </c>
      <c r="F25" s="73"/>
      <c r="G25" s="74" t="str">
        <f aca="false">(SUMPRODUCT(((Resultados!$C$9:$C$108=Painel!$E$7)+(Resultados!$C$9:$C$108=""))*(Resultados!$G$9:$G$108&lt;&gt;"")*1))&amp;" vendas registradas"</f>
        <v>0 vendas registradas</v>
      </c>
      <c r="H25" s="75" t="s">
        <v>140</v>
      </c>
      <c r="I25" s="76" t="str">
        <f aca="true">IF(H25="Sim","Feito",IF(Painel!$K$7="","A fazer",IF(Painel!$K$7+3&lt;TODAY(),"Atrasado",IF(Painel!$K$7+3=TODAY(),"Hoje","A fazer"))))</f>
        <v>A fazer</v>
      </c>
    </row>
    <row r="26" customFormat="false" ht="33.75" hidden="false" customHeight="true" outlineLevel="0" collapsed="false">
      <c r="B26" s="71" t="n">
        <v>4</v>
      </c>
      <c r="C26" s="72" t="str">
        <f aca="false">IF(Painel!$K$7="","Dias 4 a 10",Painel!$K$7+3)</f>
        <v>Dias 4 a 10</v>
      </c>
      <c r="D26" s="35" t="str">
        <f aca="false">"Na entrega, fazer as três perguntas da seção 11"</f>
        <v>Na entrega, fazer as três perguntas da seção 11</v>
      </c>
      <c r="E26" s="73" t="s">
        <v>157</v>
      </c>
      <c r="F26" s="73"/>
      <c r="G26" s="74" t="str">
        <f aca="false">(SUMPRODUCT(((Expansão!$D$12:$D$111=Painel!$E$7)+(Expansão!$D$12:$D$111=""))*(Expansão!$C$12:$C$111&lt;&gt;"")*(Expansão!$C$12:$C$111&lt;&gt;"Exemplo · apague")))&amp;" oportunidades anotadas"</f>
        <v>0 oportunidades anotadas</v>
      </c>
      <c r="H26" s="75" t="s">
        <v>140</v>
      </c>
      <c r="I26" s="76" t="str">
        <f aca="true">IF(H26="Sim","Feito",IF(Painel!$K$7="","A fazer",IF(Painel!$K$7+3&lt;TODAY(),"Atrasado",IF(Painel!$K$7+3=TODAY(),"Hoje","A fazer"))))</f>
        <v>A fazer</v>
      </c>
    </row>
    <row r="28" customFormat="false" ht="21.75" hidden="false" customHeight="true" outlineLevel="0" collapsed="false">
      <c r="B28" s="10" t="s">
        <v>158</v>
      </c>
      <c r="C28" s="1"/>
      <c r="D28" s="1"/>
      <c r="E28" s="1"/>
      <c r="F28" s="1"/>
      <c r="G28" s="1"/>
      <c r="H28" s="1"/>
      <c r="I28" s="1"/>
      <c r="J28" s="1"/>
    </row>
    <row r="29" customFormat="false" ht="25.5" hidden="false" customHeight="true" outlineLevel="0" collapsed="false">
      <c r="B29" s="69" t="str">
        <f aca="false">IF(Biblioteca!$F$22=0,"RESPONDA O SELETOR",IF((SUMPRODUCT(((Alvos!$C$13:$C$112=Painel!$E$7)+(Alvos!$C$13:$C$112=""))*(Alvos!$D$13:$D$112&lt;&gt;"")*(Alvos!$M$13:$M$112="Fechou")))+(SUMPRODUCT(((Resultados!$C$9:$C$108=Painel!$E$7)+(Resultados!$C$9:$C$108=""))*(Resultados!$G$9:$G$108&lt;&gt;"")*1))&gt;=1,"ESCALAR",IF(AND((SUMPRODUCT(((Alvos!$C$13:$C$112=Painel!$E$7)+(Alvos!$C$13:$C$112=""))*(Alvos!$D$13:$D$112&lt;&gt;"")*(Alvos!$I$13:$I$112&lt;&gt;"")))&gt;=20,(SUMPRODUCT(((Alvos!$C$13:$C$112=Painel!$E$7)+(Alvos!$C$13:$C$112=""))*(Alvos!$D$13:$D$112&lt;&gt;"")*(Alvos!$K$13:$K$112&lt;&gt;"")))=0),"TROCAR",IF((SUMPRODUCT(((Alvos!$C$13:$C$112=Painel!$E$7)+(Alvos!$C$13:$C$112=""))*(Alvos!$D$13:$D$112&lt;&gt;"")*(Alvos!$K$13:$K$112&lt;&gt;"")))&gt;=3,"AJUSTAR O FOLLOW-UP",IF((SUMPRODUCT(((Alvos!$C$13:$C$112=Painel!$E$7)+(Alvos!$C$13:$C$112=""))*(Alvos!$D$13:$D$112&lt;&gt;"")*(Alvos!$I$13:$I$112&lt;&gt;"")))&gt;=10,"AJUSTAR A ABORDAGEM","SIGA A MISSÃO")))))</f>
        <v>RESPONDA O SELETOR</v>
      </c>
      <c r="C29" s="69"/>
      <c r="D29" s="70" t="str">
        <f aca="false">IF(Biblioteca!$F$22=0,"Responda as três perguntas na aba Seletor.",IF((SUMPRODUCT(((Alvos!$C$13:$C$112=Painel!$E$7)+(Alvos!$C$13:$C$112=""))*(Alvos!$D$13:$D$112&lt;&gt;"")*(Alvos!$M$13:$M$112="Fechou")))+(SUMPRODUCT(((Resultados!$C$9:$C$108=Painel!$E$7)+(Resultados!$C$9:$C$108=""))*(Resultados!$G$9:$G$108&lt;&gt;"")*1))&gt;=1,"Houve venda. Produza, entregue no prazo, faça as três perguntas da seção 11 e faça a segunda leva de visitas no mesmo bairro.",IF(AND((SUMPRODUCT(((Alvos!$C$13:$C$112=Painel!$E$7)+(Alvos!$C$13:$C$112=""))*(Alvos!$D$13:$D$112&lt;&gt;"")*(Alvos!$I$13:$I$112&lt;&gt;"")))&gt;=20,(SUMPRODUCT(((Alvos!$C$13:$C$112=Painel!$E$7)+(Alvos!$C$13:$C$112=""))*(Alvos!$D$13:$D$112&lt;&gt;"")*(Alvos!$K$13:$K$112&lt;&gt;"")))=0),"Duas levas completas sem nenhuma proposta. Troque para "&amp;IF(Biblioteca!$F$22=0,"",INDEX(Biblioteca!$K$8:$K$17,Biblioteca!$F$22))&amp;". Leve as objeções que você anotou: elas valem para o próximo.",IF((SUMPRODUCT(((Alvos!$C$13:$C$112=Painel!$E$7)+(Alvos!$C$13:$C$112=""))*(Alvos!$D$13:$D$112&lt;&gt;"")*(Alvos!$K$13:$K$112&lt;&gt;"")))&gt;=3,"As propostas estão na mão. Agora é follow-up: 48h, 7 dias e a mensagem final, como na seção 10. Não troque de G-Code antes disso.",IF((SUMPRODUCT(((Alvos!$C$13:$C$112=Painel!$E$7)+(Alvos!$C$13:$C$112=""))*(Alvos!$D$13:$D$112&lt;&gt;"")*(Alvos!$I$13:$I$112&lt;&gt;"")))&gt;=10,"Você visitou, mas ainda não chegou a 3 propostas. Releia as objeções anotadas, confira o horário de visita e faça a segunda leva de 10.","Siga a próxima ação do Painel. A decisão fica valendo depois das primeiras 10 visitas.")))))</f>
        <v>Responda as três perguntas na aba Seletor.</v>
      </c>
      <c r="E29" s="70"/>
      <c r="F29" s="70"/>
      <c r="G29" s="70"/>
      <c r="H29" s="70"/>
      <c r="I29" s="70"/>
      <c r="J29" s="70"/>
    </row>
    <row r="30" customFormat="false" ht="25.5" hidden="false" customHeight="true" outlineLevel="0" collapsed="false">
      <c r="B30" s="69"/>
      <c r="C30" s="69"/>
      <c r="D30" s="70"/>
      <c r="E30" s="70"/>
      <c r="F30" s="70"/>
      <c r="G30" s="70"/>
      <c r="H30" s="70"/>
      <c r="I30" s="70"/>
      <c r="J30" s="70"/>
    </row>
    <row r="32" customFormat="false" ht="15" hidden="false" customHeight="true" outlineLevel="0" collapsed="false">
      <c r="B32" s="79" t="s">
        <v>159</v>
      </c>
      <c r="C32" s="79"/>
      <c r="D32" s="79"/>
      <c r="E32" s="79" t="s">
        <v>160</v>
      </c>
      <c r="F32" s="79"/>
      <c r="G32" s="79"/>
      <c r="H32" s="79" t="s">
        <v>161</v>
      </c>
      <c r="I32" s="79"/>
      <c r="J32" s="79"/>
    </row>
    <row r="33" customFormat="false" ht="27.75" hidden="false" customHeight="true" outlineLevel="0" collapsed="false">
      <c r="B33" s="73" t="s">
        <v>162</v>
      </c>
      <c r="C33" s="73"/>
      <c r="D33" s="73"/>
      <c r="E33" s="73" t="s">
        <v>163</v>
      </c>
      <c r="F33" s="73"/>
      <c r="G33" s="73"/>
      <c r="H33" s="73" t="s">
        <v>164</v>
      </c>
      <c r="I33" s="73"/>
      <c r="J33" s="73"/>
    </row>
  </sheetData>
  <mergeCells count="23">
    <mergeCell ref="E9:F9"/>
    <mergeCell ref="E10:F10"/>
    <mergeCell ref="E11:F11"/>
    <mergeCell ref="E12:F12"/>
    <mergeCell ref="E14:F14"/>
    <mergeCell ref="E15:F15"/>
    <mergeCell ref="E16:F16"/>
    <mergeCell ref="E18:F18"/>
    <mergeCell ref="E19:F19"/>
    <mergeCell ref="E20:F20"/>
    <mergeCell ref="E21:F21"/>
    <mergeCell ref="E23:F23"/>
    <mergeCell ref="E24:F24"/>
    <mergeCell ref="E25:F25"/>
    <mergeCell ref="E26:F26"/>
    <mergeCell ref="B29:C30"/>
    <mergeCell ref="D29:J30"/>
    <mergeCell ref="B32:D32"/>
    <mergeCell ref="E32:G32"/>
    <mergeCell ref="H32:J32"/>
    <mergeCell ref="B33:D33"/>
    <mergeCell ref="E33:G33"/>
    <mergeCell ref="H33:J33"/>
  </mergeCells>
  <conditionalFormatting sqref="I8:I26">
    <cfRule type="expression" priority="2" aboveAverage="0" equalAverage="0" bottom="0" percent="0" rank="0" text="" dxfId="0">
      <formula>I8="Feito"</formula>
    </cfRule>
    <cfRule type="expression" priority="3" aboveAverage="0" equalAverage="0" bottom="0" percent="0" rank="0" text="" dxfId="4">
      <formula>I8="Hoje"</formula>
    </cfRule>
    <cfRule type="expression" priority="4" aboveAverage="0" equalAverage="0" bottom="0" percent="0" rank="0" text="" dxfId="5">
      <formula>I8="Atrasado"</formula>
    </cfRule>
  </conditionalFormatting>
  <conditionalFormatting sqref="H8:H26">
    <cfRule type="expression" priority="5" aboveAverage="0" equalAverage="0" bottom="0" percent="0" rank="0" text="" dxfId="6">
      <formula>H8="Sim"</formula>
    </cfRule>
  </conditionalFormatting>
  <dataValidations count="1">
    <dataValidation allowBlank="false" errorStyle="stop" operator="between" showDropDown="false" showErrorMessage="false" showInputMessage="false" sqref="H8:H26" type="list">
      <formula1>"Sim,Não"</formula1>
      <formula2>0</formula2>
    </dataValidation>
  </dataValidations>
  <hyperlinks>
    <hyperlink ref="J6" location="'Painel'!A1" display="Ir para o Painel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true"/>
  </sheetPr>
  <dimension ref="A1:R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32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30"/>
    <col collapsed="false" customWidth="true" hidden="false" outlineLevel="0" max="18" min="18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30" hidden="false" customHeight="true" outlineLevel="0" collapsed="false">
      <c r="A3" s="1"/>
      <c r="B3" s="3" t="s">
        <v>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9.5" hidden="false" customHeight="true" outlineLevel="0" collapsed="false">
      <c r="A4" s="1"/>
      <c r="B4" s="4" t="s">
        <v>165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8" hidden="false" customHeight="true" outlineLevel="0" collapsed="false">
      <c r="Q6" s="18" t="s">
        <v>49</v>
      </c>
    </row>
    <row r="7" customFormat="false" ht="21.75" hidden="false" customHeight="true" outlineLevel="0" collapsed="false">
      <c r="B7" s="10" t="s">
        <v>166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customFormat="false" ht="18" hidden="false" customHeight="true" outlineLevel="0" collapsed="false">
      <c r="B8" s="49" t="s">
        <v>167</v>
      </c>
      <c r="C8" s="49"/>
      <c r="D8" s="49" t="s">
        <v>168</v>
      </c>
      <c r="E8" s="49"/>
      <c r="F8" s="49"/>
      <c r="G8" s="49" t="s">
        <v>169</v>
      </c>
      <c r="H8" s="49"/>
      <c r="I8" s="48" t="s">
        <v>93</v>
      </c>
      <c r="J8" s="48"/>
      <c r="K8" s="48"/>
      <c r="L8" s="49" t="s">
        <v>170</v>
      </c>
      <c r="M8" s="49"/>
      <c r="N8" s="49"/>
      <c r="O8" s="49" t="s">
        <v>171</v>
      </c>
      <c r="P8" s="49"/>
      <c r="Q8" s="49"/>
    </row>
    <row r="9" customFormat="false" ht="27.75" hidden="false" customHeight="true" outlineLevel="0" collapsed="false">
      <c r="B9" s="80" t="n">
        <f aca="false">SUMPRODUCT(((Alvos!$C$13:$C$112=Painel!$E$7)+(Alvos!$C$13:$C$112=""))*(Alvos!$D$13:$D$112&lt;&gt;"")*1)</f>
        <v>0</v>
      </c>
      <c r="C9" s="80"/>
      <c r="D9" s="80" t="n">
        <f aca="false">SUMPRODUCT(((Alvos!$C$13:$C$112=Painel!$E$7)+(Alvos!$C$13:$C$112=""))*(Alvos!$D$13:$D$112&lt;&gt;"")*(Alvos!$I$13:$I$112&lt;&gt;""))</f>
        <v>0</v>
      </c>
      <c r="E9" s="80"/>
      <c r="F9" s="80"/>
      <c r="G9" s="80" t="n">
        <f aca="false">SUMPRODUCT(((Alvos!$C$13:$C$112=Painel!$E$7)+(Alvos!$C$13:$C$112=""))*(Alvos!$D$13:$D$112&lt;&gt;"")*(Alvos!$J$13:$J$112="Sim"))</f>
        <v>0</v>
      </c>
      <c r="H9" s="80"/>
      <c r="I9" s="81" t="n">
        <f aca="false">SUMPRODUCT(((Alvos!$C$13:$C$112=Painel!$E$7)+(Alvos!$C$13:$C$112=""))*(Alvos!$D$13:$D$112&lt;&gt;"")*(Alvos!$K$13:$K$112&lt;&gt;""))</f>
        <v>0</v>
      </c>
      <c r="J9" s="81"/>
      <c r="K9" s="81"/>
      <c r="L9" s="80" t="n">
        <f aca="false">SUMPRODUCT(((Alvos!$C$13:$C$112=Painel!$E$7)+(Alvos!$C$13:$C$112=""))*(Alvos!$D$13:$D$112&lt;&gt;"")*(Alvos!$M$13:$M$112="Fechou"))</f>
        <v>0</v>
      </c>
      <c r="M9" s="80"/>
      <c r="N9" s="80"/>
      <c r="O9" s="80" t="n">
        <f aca="true">SUMPRODUCT(((Alvos!$C$13:$C$112=Painel!$E$7)+(Alvos!$C$13:$C$112=""))*(Alvos!$D$13:$D$112&lt;&gt;"")*(Alvos!$P$13:$P$112&lt;&gt;"")*(Alvos!$P$13:$P$112&lt;=TODAY()))</f>
        <v>0</v>
      </c>
      <c r="P9" s="80"/>
      <c r="Q9" s="80"/>
    </row>
    <row r="10" customFormat="false" ht="15.75" hidden="false" customHeight="true" outlineLevel="0" collapsed="false">
      <c r="B10" s="55" t="s">
        <v>172</v>
      </c>
      <c r="C10" s="55"/>
      <c r="D10" s="55" t="s">
        <v>173</v>
      </c>
      <c r="E10" s="55"/>
      <c r="F10" s="55"/>
      <c r="G10" s="55" t="s">
        <v>174</v>
      </c>
      <c r="H10" s="55"/>
      <c r="I10" s="54" t="s">
        <v>175</v>
      </c>
      <c r="J10" s="54"/>
      <c r="K10" s="54"/>
      <c r="L10" s="55" t="s">
        <v>176</v>
      </c>
      <c r="M10" s="55"/>
      <c r="N10" s="55"/>
      <c r="O10" s="55" t="s">
        <v>177</v>
      </c>
      <c r="P10" s="55"/>
      <c r="Q10" s="55"/>
    </row>
    <row r="11" customFormat="false" ht="15.75" hidden="false" customHeight="true" outlineLevel="0" collapsed="false">
      <c r="B11" s="82" t="s">
        <v>178</v>
      </c>
    </row>
    <row r="12" customFormat="false" ht="31.5" hidden="false" customHeight="true" outlineLevel="0" collapsed="false">
      <c r="B12" s="58" t="s">
        <v>179</v>
      </c>
      <c r="C12" s="58" t="s">
        <v>180</v>
      </c>
      <c r="D12" s="58" t="s">
        <v>181</v>
      </c>
      <c r="E12" s="58" t="s">
        <v>182</v>
      </c>
      <c r="F12" s="58" t="s">
        <v>183</v>
      </c>
      <c r="G12" s="58" t="s">
        <v>184</v>
      </c>
      <c r="H12" s="58" t="s">
        <v>185</v>
      </c>
      <c r="I12" s="58" t="s">
        <v>186</v>
      </c>
      <c r="J12" s="58" t="s">
        <v>187</v>
      </c>
      <c r="K12" s="58" t="s">
        <v>188</v>
      </c>
      <c r="L12" s="58" t="s">
        <v>189</v>
      </c>
      <c r="M12" s="58" t="s">
        <v>190</v>
      </c>
      <c r="N12" s="58" t="s">
        <v>191</v>
      </c>
      <c r="O12" s="58" t="s">
        <v>192</v>
      </c>
      <c r="P12" s="58" t="s">
        <v>193</v>
      </c>
      <c r="Q12" s="58" t="s">
        <v>194</v>
      </c>
    </row>
    <row r="13" customFormat="false" ht="21.75" hidden="false" customHeight="true" outlineLevel="0" collapsed="false">
      <c r="B13" s="83" t="n">
        <f aca="false">IF(D13="","",ROW()-12)</f>
        <v>1</v>
      </c>
      <c r="C13" s="84" t="s">
        <v>195</v>
      </c>
      <c r="D13" s="84" t="s">
        <v>196</v>
      </c>
      <c r="E13" s="84" t="s">
        <v>197</v>
      </c>
      <c r="F13" s="84" t="s">
        <v>198</v>
      </c>
      <c r="G13" s="84" t="s">
        <v>199</v>
      </c>
      <c r="H13" s="85" t="n">
        <v>4.6</v>
      </c>
      <c r="I13" s="86" t="n">
        <v>46301</v>
      </c>
      <c r="J13" s="84" t="s">
        <v>200</v>
      </c>
      <c r="K13" s="86" t="n">
        <v>46301</v>
      </c>
      <c r="L13" s="87" t="n">
        <v>180</v>
      </c>
      <c r="M13" s="84" t="s">
        <v>201</v>
      </c>
      <c r="N13" s="84" t="s">
        <v>202</v>
      </c>
      <c r="O13" s="86"/>
      <c r="P13" s="88" t="n">
        <f aca="false">IF(OR(D13="",M13="Fechou",M13="Não agora"),"",IF(O13&lt;&gt;"",O13,IF(K13="","",IF(M13="Proposta entregue",K13+2,IF(M13="Follow-up 48h feito",K13+7,IF(M13="Follow-up 7 dias feito",K13+21,""))))))</f>
        <v>46303</v>
      </c>
      <c r="Q13" s="84" t="s">
        <v>203</v>
      </c>
    </row>
    <row r="14" customFormat="false" ht="21.75" hidden="false" customHeight="true" outlineLevel="0" collapsed="false">
      <c r="B14" s="83" t="str">
        <f aca="false">IF(D14="","",ROW()-12)</f>
        <v/>
      </c>
      <c r="C14" s="89"/>
      <c r="D14" s="89"/>
      <c r="E14" s="89"/>
      <c r="F14" s="89"/>
      <c r="G14" s="89"/>
      <c r="H14" s="90"/>
      <c r="I14" s="91"/>
      <c r="J14" s="89"/>
      <c r="K14" s="91"/>
      <c r="L14" s="92"/>
      <c r="M14" s="89"/>
      <c r="N14" s="89"/>
      <c r="O14" s="91"/>
      <c r="P14" s="93" t="str">
        <f aca="false">IF(OR(D14="",M14="Fechou",M14="Não agora"),"",IF(O14&lt;&gt;"",O14,IF(K14="","",IF(M14="Proposta entregue",K14+2,IF(M14="Follow-up 48h feito",K14+7,IF(M14="Follow-up 7 dias feito",K14+21,""))))))</f>
        <v/>
      </c>
      <c r="Q14" s="89"/>
    </row>
    <row r="15" customFormat="false" ht="21.75" hidden="false" customHeight="true" outlineLevel="0" collapsed="false">
      <c r="B15" s="83" t="str">
        <f aca="false">IF(D15="","",ROW()-12)</f>
        <v/>
      </c>
      <c r="C15" s="89"/>
      <c r="D15" s="89"/>
      <c r="E15" s="89"/>
      <c r="F15" s="89"/>
      <c r="G15" s="89"/>
      <c r="H15" s="90"/>
      <c r="I15" s="91"/>
      <c r="J15" s="89"/>
      <c r="K15" s="91"/>
      <c r="L15" s="92"/>
      <c r="M15" s="89"/>
      <c r="N15" s="89"/>
      <c r="O15" s="91"/>
      <c r="P15" s="93" t="str">
        <f aca="false">IF(OR(D15="",M15="Fechou",M15="Não agora"),"",IF(O15&lt;&gt;"",O15,IF(K15="","",IF(M15="Proposta entregue",K15+2,IF(M15="Follow-up 48h feito",K15+7,IF(M15="Follow-up 7 dias feito",K15+21,""))))))</f>
        <v/>
      </c>
      <c r="Q15" s="89"/>
    </row>
    <row r="16" customFormat="false" ht="21.75" hidden="false" customHeight="true" outlineLevel="0" collapsed="false">
      <c r="B16" s="83" t="str">
        <f aca="false">IF(D16="","",ROW()-12)</f>
        <v/>
      </c>
      <c r="C16" s="89"/>
      <c r="D16" s="89"/>
      <c r="E16" s="89"/>
      <c r="F16" s="89"/>
      <c r="G16" s="89"/>
      <c r="H16" s="90"/>
      <c r="I16" s="91"/>
      <c r="J16" s="89"/>
      <c r="K16" s="91"/>
      <c r="L16" s="92"/>
      <c r="M16" s="89"/>
      <c r="N16" s="89"/>
      <c r="O16" s="91"/>
      <c r="P16" s="93" t="str">
        <f aca="false">IF(OR(D16="",M16="Fechou",M16="Não agora"),"",IF(O16&lt;&gt;"",O16,IF(K16="","",IF(M16="Proposta entregue",K16+2,IF(M16="Follow-up 48h feito",K16+7,IF(M16="Follow-up 7 dias feito",K16+21,""))))))</f>
        <v/>
      </c>
      <c r="Q16" s="89"/>
    </row>
    <row r="17" customFormat="false" ht="21.75" hidden="false" customHeight="true" outlineLevel="0" collapsed="false">
      <c r="B17" s="83" t="str">
        <f aca="false">IF(D17="","",ROW()-12)</f>
        <v/>
      </c>
      <c r="C17" s="89"/>
      <c r="D17" s="89"/>
      <c r="E17" s="89"/>
      <c r="F17" s="89"/>
      <c r="G17" s="89"/>
      <c r="H17" s="90"/>
      <c r="I17" s="91"/>
      <c r="J17" s="89"/>
      <c r="K17" s="91"/>
      <c r="L17" s="92"/>
      <c r="M17" s="89"/>
      <c r="N17" s="89"/>
      <c r="O17" s="91"/>
      <c r="P17" s="93" t="str">
        <f aca="false">IF(OR(D17="",M17="Fechou",M17="Não agora"),"",IF(O17&lt;&gt;"",O17,IF(K17="","",IF(M17="Proposta entregue",K17+2,IF(M17="Follow-up 48h feito",K17+7,IF(M17="Follow-up 7 dias feito",K17+21,""))))))</f>
        <v/>
      </c>
      <c r="Q17" s="89"/>
    </row>
    <row r="18" customFormat="false" ht="21.75" hidden="false" customHeight="true" outlineLevel="0" collapsed="false">
      <c r="B18" s="83" t="str">
        <f aca="false">IF(D18="","",ROW()-12)</f>
        <v/>
      </c>
      <c r="C18" s="89"/>
      <c r="D18" s="89"/>
      <c r="E18" s="89"/>
      <c r="F18" s="89"/>
      <c r="G18" s="89"/>
      <c r="H18" s="90"/>
      <c r="I18" s="91"/>
      <c r="J18" s="89"/>
      <c r="K18" s="91"/>
      <c r="L18" s="92"/>
      <c r="M18" s="89"/>
      <c r="N18" s="89"/>
      <c r="O18" s="91"/>
      <c r="P18" s="93" t="str">
        <f aca="false">IF(OR(D18="",M18="Fechou",M18="Não agora"),"",IF(O18&lt;&gt;"",O18,IF(K18="","",IF(M18="Proposta entregue",K18+2,IF(M18="Follow-up 48h feito",K18+7,IF(M18="Follow-up 7 dias feito",K18+21,""))))))</f>
        <v/>
      </c>
      <c r="Q18" s="89"/>
    </row>
    <row r="19" customFormat="false" ht="21.75" hidden="false" customHeight="true" outlineLevel="0" collapsed="false">
      <c r="B19" s="83" t="str">
        <f aca="false">IF(D19="","",ROW()-12)</f>
        <v/>
      </c>
      <c r="C19" s="89"/>
      <c r="D19" s="89"/>
      <c r="E19" s="89"/>
      <c r="F19" s="89"/>
      <c r="G19" s="89"/>
      <c r="H19" s="90"/>
      <c r="I19" s="91"/>
      <c r="J19" s="89"/>
      <c r="K19" s="91"/>
      <c r="L19" s="92"/>
      <c r="M19" s="89"/>
      <c r="N19" s="89"/>
      <c r="O19" s="91"/>
      <c r="P19" s="93" t="str">
        <f aca="false">IF(OR(D19="",M19="Fechou",M19="Não agora"),"",IF(O19&lt;&gt;"",O19,IF(K19="","",IF(M19="Proposta entregue",K19+2,IF(M19="Follow-up 48h feito",K19+7,IF(M19="Follow-up 7 dias feito",K19+21,""))))))</f>
        <v/>
      </c>
      <c r="Q19" s="89"/>
    </row>
    <row r="20" customFormat="false" ht="21.75" hidden="false" customHeight="true" outlineLevel="0" collapsed="false">
      <c r="B20" s="83" t="str">
        <f aca="false">IF(D20="","",ROW()-12)</f>
        <v/>
      </c>
      <c r="C20" s="89"/>
      <c r="D20" s="89"/>
      <c r="E20" s="89"/>
      <c r="F20" s="89"/>
      <c r="G20" s="89"/>
      <c r="H20" s="90"/>
      <c r="I20" s="91"/>
      <c r="J20" s="89"/>
      <c r="K20" s="91"/>
      <c r="L20" s="92"/>
      <c r="M20" s="89"/>
      <c r="N20" s="89"/>
      <c r="O20" s="91"/>
      <c r="P20" s="93" t="str">
        <f aca="false">IF(OR(D20="",M20="Fechou",M20="Não agora"),"",IF(O20&lt;&gt;"",O20,IF(K20="","",IF(M20="Proposta entregue",K20+2,IF(M20="Follow-up 48h feito",K20+7,IF(M20="Follow-up 7 dias feito",K20+21,""))))))</f>
        <v/>
      </c>
      <c r="Q20" s="89"/>
    </row>
    <row r="21" customFormat="false" ht="21.75" hidden="false" customHeight="true" outlineLevel="0" collapsed="false">
      <c r="B21" s="83" t="str">
        <f aca="false">IF(D21="","",ROW()-12)</f>
        <v/>
      </c>
      <c r="C21" s="89"/>
      <c r="D21" s="89"/>
      <c r="E21" s="89"/>
      <c r="F21" s="89"/>
      <c r="G21" s="89"/>
      <c r="H21" s="90"/>
      <c r="I21" s="91"/>
      <c r="J21" s="89"/>
      <c r="K21" s="91"/>
      <c r="L21" s="92"/>
      <c r="M21" s="89"/>
      <c r="N21" s="89"/>
      <c r="O21" s="91"/>
      <c r="P21" s="93" t="str">
        <f aca="false">IF(OR(D21="",M21="Fechou",M21="Não agora"),"",IF(O21&lt;&gt;"",O21,IF(K21="","",IF(M21="Proposta entregue",K21+2,IF(M21="Follow-up 48h feito",K21+7,IF(M21="Follow-up 7 dias feito",K21+21,""))))))</f>
        <v/>
      </c>
      <c r="Q21" s="89"/>
    </row>
    <row r="22" customFormat="false" ht="21.75" hidden="false" customHeight="true" outlineLevel="0" collapsed="false">
      <c r="B22" s="83" t="str">
        <f aca="false">IF(D22="","",ROW()-12)</f>
        <v/>
      </c>
      <c r="C22" s="89"/>
      <c r="D22" s="89"/>
      <c r="E22" s="89"/>
      <c r="F22" s="89"/>
      <c r="G22" s="89"/>
      <c r="H22" s="90"/>
      <c r="I22" s="91"/>
      <c r="J22" s="89"/>
      <c r="K22" s="91"/>
      <c r="L22" s="92"/>
      <c r="M22" s="89"/>
      <c r="N22" s="89"/>
      <c r="O22" s="91"/>
      <c r="P22" s="93" t="str">
        <f aca="false">IF(OR(D22="",M22="Fechou",M22="Não agora"),"",IF(O22&lt;&gt;"",O22,IF(K22="","",IF(M22="Proposta entregue",K22+2,IF(M22="Follow-up 48h feito",K22+7,IF(M22="Follow-up 7 dias feito",K22+21,""))))))</f>
        <v/>
      </c>
      <c r="Q22" s="89"/>
    </row>
    <row r="23" customFormat="false" ht="21.75" hidden="false" customHeight="true" outlineLevel="0" collapsed="false">
      <c r="B23" s="83" t="str">
        <f aca="false">IF(D23="","",ROW()-12)</f>
        <v/>
      </c>
      <c r="C23" s="89"/>
      <c r="D23" s="89"/>
      <c r="E23" s="89"/>
      <c r="F23" s="89"/>
      <c r="G23" s="89"/>
      <c r="H23" s="90"/>
      <c r="I23" s="91"/>
      <c r="J23" s="89"/>
      <c r="K23" s="91"/>
      <c r="L23" s="92"/>
      <c r="M23" s="89"/>
      <c r="N23" s="89"/>
      <c r="O23" s="91"/>
      <c r="P23" s="93" t="str">
        <f aca="false">IF(OR(D23="",M23="Fechou",M23="Não agora"),"",IF(O23&lt;&gt;"",O23,IF(K23="","",IF(M23="Proposta entregue",K23+2,IF(M23="Follow-up 48h feito",K23+7,IF(M23="Follow-up 7 dias feito",K23+21,""))))))</f>
        <v/>
      </c>
      <c r="Q23" s="89"/>
    </row>
    <row r="24" customFormat="false" ht="21.75" hidden="false" customHeight="true" outlineLevel="0" collapsed="false">
      <c r="B24" s="83" t="str">
        <f aca="false">IF(D24="","",ROW()-12)</f>
        <v/>
      </c>
      <c r="C24" s="89"/>
      <c r="D24" s="89"/>
      <c r="E24" s="89"/>
      <c r="F24" s="89"/>
      <c r="G24" s="89"/>
      <c r="H24" s="90"/>
      <c r="I24" s="91"/>
      <c r="J24" s="89"/>
      <c r="K24" s="91"/>
      <c r="L24" s="92"/>
      <c r="M24" s="89"/>
      <c r="N24" s="89"/>
      <c r="O24" s="91"/>
      <c r="P24" s="93" t="str">
        <f aca="false">IF(OR(D24="",M24="Fechou",M24="Não agora"),"",IF(O24&lt;&gt;"",O24,IF(K24="","",IF(M24="Proposta entregue",K24+2,IF(M24="Follow-up 48h feito",K24+7,IF(M24="Follow-up 7 dias feito",K24+21,""))))))</f>
        <v/>
      </c>
      <c r="Q24" s="89"/>
    </row>
    <row r="25" customFormat="false" ht="21.75" hidden="false" customHeight="true" outlineLevel="0" collapsed="false">
      <c r="B25" s="83" t="str">
        <f aca="false">IF(D25="","",ROW()-12)</f>
        <v/>
      </c>
      <c r="C25" s="89"/>
      <c r="D25" s="89"/>
      <c r="E25" s="89"/>
      <c r="F25" s="89"/>
      <c r="G25" s="89"/>
      <c r="H25" s="90"/>
      <c r="I25" s="91"/>
      <c r="J25" s="89"/>
      <c r="K25" s="91"/>
      <c r="L25" s="92"/>
      <c r="M25" s="89"/>
      <c r="N25" s="89"/>
      <c r="O25" s="91"/>
      <c r="P25" s="93" t="str">
        <f aca="false">IF(OR(D25="",M25="Fechou",M25="Não agora"),"",IF(O25&lt;&gt;"",O25,IF(K25="","",IF(M25="Proposta entregue",K25+2,IF(M25="Follow-up 48h feito",K25+7,IF(M25="Follow-up 7 dias feito",K25+21,""))))))</f>
        <v/>
      </c>
      <c r="Q25" s="89"/>
    </row>
    <row r="26" customFormat="false" ht="21.75" hidden="false" customHeight="true" outlineLevel="0" collapsed="false">
      <c r="B26" s="83" t="str">
        <f aca="false">IF(D26="","",ROW()-12)</f>
        <v/>
      </c>
      <c r="C26" s="89"/>
      <c r="D26" s="89"/>
      <c r="E26" s="89"/>
      <c r="F26" s="89"/>
      <c r="G26" s="89"/>
      <c r="H26" s="90"/>
      <c r="I26" s="91"/>
      <c r="J26" s="89"/>
      <c r="K26" s="91"/>
      <c r="L26" s="92"/>
      <c r="M26" s="89"/>
      <c r="N26" s="89"/>
      <c r="O26" s="91"/>
      <c r="P26" s="93" t="str">
        <f aca="false">IF(OR(D26="",M26="Fechou",M26="Não agora"),"",IF(O26&lt;&gt;"",O26,IF(K26="","",IF(M26="Proposta entregue",K26+2,IF(M26="Follow-up 48h feito",K26+7,IF(M26="Follow-up 7 dias feito",K26+21,""))))))</f>
        <v/>
      </c>
      <c r="Q26" s="89"/>
    </row>
    <row r="27" customFormat="false" ht="21.75" hidden="false" customHeight="true" outlineLevel="0" collapsed="false">
      <c r="B27" s="83" t="str">
        <f aca="false">IF(D27="","",ROW()-12)</f>
        <v/>
      </c>
      <c r="C27" s="89"/>
      <c r="D27" s="89"/>
      <c r="E27" s="89"/>
      <c r="F27" s="89"/>
      <c r="G27" s="89"/>
      <c r="H27" s="90"/>
      <c r="I27" s="91"/>
      <c r="J27" s="89"/>
      <c r="K27" s="91"/>
      <c r="L27" s="92"/>
      <c r="M27" s="89"/>
      <c r="N27" s="89"/>
      <c r="O27" s="91"/>
      <c r="P27" s="93" t="str">
        <f aca="false">IF(OR(D27="",M27="Fechou",M27="Não agora"),"",IF(O27&lt;&gt;"",O27,IF(K27="","",IF(M27="Proposta entregue",K27+2,IF(M27="Follow-up 48h feito",K27+7,IF(M27="Follow-up 7 dias feito",K27+21,""))))))</f>
        <v/>
      </c>
      <c r="Q27" s="89"/>
    </row>
    <row r="28" customFormat="false" ht="21.75" hidden="false" customHeight="true" outlineLevel="0" collapsed="false">
      <c r="B28" s="83" t="str">
        <f aca="false">IF(D28="","",ROW()-12)</f>
        <v/>
      </c>
      <c r="C28" s="89"/>
      <c r="D28" s="89"/>
      <c r="E28" s="89"/>
      <c r="F28" s="89"/>
      <c r="G28" s="89"/>
      <c r="H28" s="90"/>
      <c r="I28" s="91"/>
      <c r="J28" s="89"/>
      <c r="K28" s="91"/>
      <c r="L28" s="92"/>
      <c r="M28" s="89"/>
      <c r="N28" s="89"/>
      <c r="O28" s="91"/>
      <c r="P28" s="93" t="str">
        <f aca="false">IF(OR(D28="",M28="Fechou",M28="Não agora"),"",IF(O28&lt;&gt;"",O28,IF(K28="","",IF(M28="Proposta entregue",K28+2,IF(M28="Follow-up 48h feito",K28+7,IF(M28="Follow-up 7 dias feito",K28+21,""))))))</f>
        <v/>
      </c>
      <c r="Q28" s="89"/>
    </row>
    <row r="29" customFormat="false" ht="21.75" hidden="false" customHeight="true" outlineLevel="0" collapsed="false">
      <c r="B29" s="83" t="str">
        <f aca="false">IF(D29="","",ROW()-12)</f>
        <v/>
      </c>
      <c r="C29" s="89"/>
      <c r="D29" s="89"/>
      <c r="E29" s="89"/>
      <c r="F29" s="89"/>
      <c r="G29" s="89"/>
      <c r="H29" s="90"/>
      <c r="I29" s="91"/>
      <c r="J29" s="89"/>
      <c r="K29" s="91"/>
      <c r="L29" s="92"/>
      <c r="M29" s="89"/>
      <c r="N29" s="89"/>
      <c r="O29" s="91"/>
      <c r="P29" s="93" t="str">
        <f aca="false">IF(OR(D29="",M29="Fechou",M29="Não agora"),"",IF(O29&lt;&gt;"",O29,IF(K29="","",IF(M29="Proposta entregue",K29+2,IF(M29="Follow-up 48h feito",K29+7,IF(M29="Follow-up 7 dias feito",K29+21,""))))))</f>
        <v/>
      </c>
      <c r="Q29" s="89"/>
    </row>
    <row r="30" customFormat="false" ht="21.75" hidden="false" customHeight="true" outlineLevel="0" collapsed="false">
      <c r="B30" s="83" t="str">
        <f aca="false">IF(D30="","",ROW()-12)</f>
        <v/>
      </c>
      <c r="C30" s="89"/>
      <c r="D30" s="89"/>
      <c r="E30" s="89"/>
      <c r="F30" s="89"/>
      <c r="G30" s="89"/>
      <c r="H30" s="90"/>
      <c r="I30" s="91"/>
      <c r="J30" s="89"/>
      <c r="K30" s="91"/>
      <c r="L30" s="92"/>
      <c r="M30" s="89"/>
      <c r="N30" s="89"/>
      <c r="O30" s="91"/>
      <c r="P30" s="93" t="str">
        <f aca="false">IF(OR(D30="",M30="Fechou",M30="Não agora"),"",IF(O30&lt;&gt;"",O30,IF(K30="","",IF(M30="Proposta entregue",K30+2,IF(M30="Follow-up 48h feito",K30+7,IF(M30="Follow-up 7 dias feito",K30+21,""))))))</f>
        <v/>
      </c>
      <c r="Q30" s="89"/>
    </row>
    <row r="31" customFormat="false" ht="21.75" hidden="false" customHeight="true" outlineLevel="0" collapsed="false">
      <c r="B31" s="83" t="str">
        <f aca="false">IF(D31="","",ROW()-12)</f>
        <v/>
      </c>
      <c r="C31" s="89"/>
      <c r="D31" s="89"/>
      <c r="E31" s="89"/>
      <c r="F31" s="89"/>
      <c r="G31" s="89"/>
      <c r="H31" s="90"/>
      <c r="I31" s="91"/>
      <c r="J31" s="89"/>
      <c r="K31" s="91"/>
      <c r="L31" s="92"/>
      <c r="M31" s="89"/>
      <c r="N31" s="89"/>
      <c r="O31" s="91"/>
      <c r="P31" s="93" t="str">
        <f aca="false">IF(OR(D31="",M31="Fechou",M31="Não agora"),"",IF(O31&lt;&gt;"",O31,IF(K31="","",IF(M31="Proposta entregue",K31+2,IF(M31="Follow-up 48h feito",K31+7,IF(M31="Follow-up 7 dias feito",K31+21,""))))))</f>
        <v/>
      </c>
      <c r="Q31" s="89"/>
    </row>
    <row r="32" customFormat="false" ht="21.75" hidden="false" customHeight="true" outlineLevel="0" collapsed="false">
      <c r="B32" s="83" t="str">
        <f aca="false">IF(D32="","",ROW()-12)</f>
        <v/>
      </c>
      <c r="C32" s="89"/>
      <c r="D32" s="89"/>
      <c r="E32" s="89"/>
      <c r="F32" s="89"/>
      <c r="G32" s="89"/>
      <c r="H32" s="90"/>
      <c r="I32" s="91"/>
      <c r="J32" s="89"/>
      <c r="K32" s="91"/>
      <c r="L32" s="92"/>
      <c r="M32" s="89"/>
      <c r="N32" s="89"/>
      <c r="O32" s="91"/>
      <c r="P32" s="93" t="str">
        <f aca="false">IF(OR(D32="",M32="Fechou",M32="Não agora"),"",IF(O32&lt;&gt;"",O32,IF(K32="","",IF(M32="Proposta entregue",K32+2,IF(M32="Follow-up 48h feito",K32+7,IF(M32="Follow-up 7 dias feito",K32+21,""))))))</f>
        <v/>
      </c>
      <c r="Q32" s="89"/>
    </row>
    <row r="33" customFormat="false" ht="21.75" hidden="false" customHeight="true" outlineLevel="0" collapsed="false">
      <c r="B33" s="83" t="str">
        <f aca="false">IF(D33="","",ROW()-12)</f>
        <v/>
      </c>
      <c r="C33" s="89"/>
      <c r="D33" s="89"/>
      <c r="E33" s="89"/>
      <c r="F33" s="89"/>
      <c r="G33" s="89"/>
      <c r="H33" s="90"/>
      <c r="I33" s="91"/>
      <c r="J33" s="89"/>
      <c r="K33" s="91"/>
      <c r="L33" s="92"/>
      <c r="M33" s="89"/>
      <c r="N33" s="89"/>
      <c r="O33" s="91"/>
      <c r="P33" s="93" t="str">
        <f aca="false">IF(OR(D33="",M33="Fechou",M33="Não agora"),"",IF(O33&lt;&gt;"",O33,IF(K33="","",IF(M33="Proposta entregue",K33+2,IF(M33="Follow-up 48h feito",K33+7,IF(M33="Follow-up 7 dias feito",K33+21,""))))))</f>
        <v/>
      </c>
      <c r="Q33" s="89"/>
    </row>
    <row r="34" customFormat="false" ht="21.75" hidden="false" customHeight="true" outlineLevel="0" collapsed="false">
      <c r="B34" s="83" t="str">
        <f aca="false">IF(D34="","",ROW()-12)</f>
        <v/>
      </c>
      <c r="C34" s="89"/>
      <c r="D34" s="89"/>
      <c r="E34" s="89"/>
      <c r="F34" s="89"/>
      <c r="G34" s="89"/>
      <c r="H34" s="90"/>
      <c r="I34" s="91"/>
      <c r="J34" s="89"/>
      <c r="K34" s="91"/>
      <c r="L34" s="92"/>
      <c r="M34" s="89"/>
      <c r="N34" s="89"/>
      <c r="O34" s="91"/>
      <c r="P34" s="93" t="str">
        <f aca="false">IF(OR(D34="",M34="Fechou",M34="Não agora"),"",IF(O34&lt;&gt;"",O34,IF(K34="","",IF(M34="Proposta entregue",K34+2,IF(M34="Follow-up 48h feito",K34+7,IF(M34="Follow-up 7 dias feito",K34+21,""))))))</f>
        <v/>
      </c>
      <c r="Q34" s="89"/>
    </row>
    <row r="35" customFormat="false" ht="21.75" hidden="false" customHeight="true" outlineLevel="0" collapsed="false">
      <c r="B35" s="83" t="str">
        <f aca="false">IF(D35="","",ROW()-12)</f>
        <v/>
      </c>
      <c r="C35" s="89"/>
      <c r="D35" s="89"/>
      <c r="E35" s="89"/>
      <c r="F35" s="89"/>
      <c r="G35" s="89"/>
      <c r="H35" s="90"/>
      <c r="I35" s="91"/>
      <c r="J35" s="89"/>
      <c r="K35" s="91"/>
      <c r="L35" s="92"/>
      <c r="M35" s="89"/>
      <c r="N35" s="89"/>
      <c r="O35" s="91"/>
      <c r="P35" s="93" t="str">
        <f aca="false">IF(OR(D35="",M35="Fechou",M35="Não agora"),"",IF(O35&lt;&gt;"",O35,IF(K35="","",IF(M35="Proposta entregue",K35+2,IF(M35="Follow-up 48h feito",K35+7,IF(M35="Follow-up 7 dias feito",K35+21,""))))))</f>
        <v/>
      </c>
      <c r="Q35" s="89"/>
    </row>
    <row r="36" customFormat="false" ht="21.75" hidden="false" customHeight="true" outlineLevel="0" collapsed="false">
      <c r="B36" s="83" t="str">
        <f aca="false">IF(D36="","",ROW()-12)</f>
        <v/>
      </c>
      <c r="C36" s="89"/>
      <c r="D36" s="89"/>
      <c r="E36" s="89"/>
      <c r="F36" s="89"/>
      <c r="G36" s="89"/>
      <c r="H36" s="90"/>
      <c r="I36" s="91"/>
      <c r="J36" s="89"/>
      <c r="K36" s="91"/>
      <c r="L36" s="92"/>
      <c r="M36" s="89"/>
      <c r="N36" s="89"/>
      <c r="O36" s="91"/>
      <c r="P36" s="93" t="str">
        <f aca="false">IF(OR(D36="",M36="Fechou",M36="Não agora"),"",IF(O36&lt;&gt;"",O36,IF(K36="","",IF(M36="Proposta entregue",K36+2,IF(M36="Follow-up 48h feito",K36+7,IF(M36="Follow-up 7 dias feito",K36+21,""))))))</f>
        <v/>
      </c>
      <c r="Q36" s="89"/>
    </row>
    <row r="37" customFormat="false" ht="21.75" hidden="false" customHeight="true" outlineLevel="0" collapsed="false">
      <c r="B37" s="83" t="str">
        <f aca="false">IF(D37="","",ROW()-12)</f>
        <v/>
      </c>
      <c r="C37" s="89"/>
      <c r="D37" s="89"/>
      <c r="E37" s="89"/>
      <c r="F37" s="89"/>
      <c r="G37" s="89"/>
      <c r="H37" s="90"/>
      <c r="I37" s="91"/>
      <c r="J37" s="89"/>
      <c r="K37" s="91"/>
      <c r="L37" s="92"/>
      <c r="M37" s="89"/>
      <c r="N37" s="89"/>
      <c r="O37" s="91"/>
      <c r="P37" s="93" t="str">
        <f aca="false">IF(OR(D37="",M37="Fechou",M37="Não agora"),"",IF(O37&lt;&gt;"",O37,IF(K37="","",IF(M37="Proposta entregue",K37+2,IF(M37="Follow-up 48h feito",K37+7,IF(M37="Follow-up 7 dias feito",K37+21,""))))))</f>
        <v/>
      </c>
      <c r="Q37" s="89"/>
    </row>
    <row r="38" customFormat="false" ht="21.75" hidden="false" customHeight="true" outlineLevel="0" collapsed="false">
      <c r="B38" s="83" t="str">
        <f aca="false">IF(D38="","",ROW()-12)</f>
        <v/>
      </c>
      <c r="C38" s="89"/>
      <c r="D38" s="89"/>
      <c r="E38" s="89"/>
      <c r="F38" s="89"/>
      <c r="G38" s="89"/>
      <c r="H38" s="90"/>
      <c r="I38" s="91"/>
      <c r="J38" s="89"/>
      <c r="K38" s="91"/>
      <c r="L38" s="92"/>
      <c r="M38" s="89"/>
      <c r="N38" s="89"/>
      <c r="O38" s="91"/>
      <c r="P38" s="93" t="str">
        <f aca="false">IF(OR(D38="",M38="Fechou",M38="Não agora"),"",IF(O38&lt;&gt;"",O38,IF(K38="","",IF(M38="Proposta entregue",K38+2,IF(M38="Follow-up 48h feito",K38+7,IF(M38="Follow-up 7 dias feito",K38+21,""))))))</f>
        <v/>
      </c>
      <c r="Q38" s="89"/>
    </row>
    <row r="39" customFormat="false" ht="21.75" hidden="false" customHeight="true" outlineLevel="0" collapsed="false">
      <c r="B39" s="83" t="str">
        <f aca="false">IF(D39="","",ROW()-12)</f>
        <v/>
      </c>
      <c r="C39" s="89"/>
      <c r="D39" s="89"/>
      <c r="E39" s="89"/>
      <c r="F39" s="89"/>
      <c r="G39" s="89"/>
      <c r="H39" s="90"/>
      <c r="I39" s="91"/>
      <c r="J39" s="89"/>
      <c r="K39" s="91"/>
      <c r="L39" s="92"/>
      <c r="M39" s="89"/>
      <c r="N39" s="89"/>
      <c r="O39" s="91"/>
      <c r="P39" s="93" t="str">
        <f aca="false">IF(OR(D39="",M39="Fechou",M39="Não agora"),"",IF(O39&lt;&gt;"",O39,IF(K39="","",IF(M39="Proposta entregue",K39+2,IF(M39="Follow-up 48h feito",K39+7,IF(M39="Follow-up 7 dias feito",K39+21,""))))))</f>
        <v/>
      </c>
      <c r="Q39" s="89"/>
    </row>
    <row r="40" customFormat="false" ht="21.75" hidden="false" customHeight="true" outlineLevel="0" collapsed="false">
      <c r="B40" s="83" t="str">
        <f aca="false">IF(D40="","",ROW()-12)</f>
        <v/>
      </c>
      <c r="C40" s="89"/>
      <c r="D40" s="89"/>
      <c r="E40" s="89"/>
      <c r="F40" s="89"/>
      <c r="G40" s="89"/>
      <c r="H40" s="90"/>
      <c r="I40" s="91"/>
      <c r="J40" s="89"/>
      <c r="K40" s="91"/>
      <c r="L40" s="92"/>
      <c r="M40" s="89"/>
      <c r="N40" s="89"/>
      <c r="O40" s="91"/>
      <c r="P40" s="93" t="str">
        <f aca="false">IF(OR(D40="",M40="Fechou",M40="Não agora"),"",IF(O40&lt;&gt;"",O40,IF(K40="","",IF(M40="Proposta entregue",K40+2,IF(M40="Follow-up 48h feito",K40+7,IF(M40="Follow-up 7 dias feito",K40+21,""))))))</f>
        <v/>
      </c>
      <c r="Q40" s="89"/>
    </row>
    <row r="41" customFormat="false" ht="21.75" hidden="false" customHeight="true" outlineLevel="0" collapsed="false">
      <c r="B41" s="83" t="str">
        <f aca="false">IF(D41="","",ROW()-12)</f>
        <v/>
      </c>
      <c r="C41" s="89"/>
      <c r="D41" s="89"/>
      <c r="E41" s="89"/>
      <c r="F41" s="89"/>
      <c r="G41" s="89"/>
      <c r="H41" s="90"/>
      <c r="I41" s="91"/>
      <c r="J41" s="89"/>
      <c r="K41" s="91"/>
      <c r="L41" s="92"/>
      <c r="M41" s="89"/>
      <c r="N41" s="89"/>
      <c r="O41" s="91"/>
      <c r="P41" s="93" t="str">
        <f aca="false">IF(OR(D41="",M41="Fechou",M41="Não agora"),"",IF(O41&lt;&gt;"",O41,IF(K41="","",IF(M41="Proposta entregue",K41+2,IF(M41="Follow-up 48h feito",K41+7,IF(M41="Follow-up 7 dias feito",K41+21,""))))))</f>
        <v/>
      </c>
      <c r="Q41" s="89"/>
    </row>
    <row r="42" customFormat="false" ht="21.75" hidden="false" customHeight="true" outlineLevel="0" collapsed="false">
      <c r="B42" s="83" t="str">
        <f aca="false">IF(D42="","",ROW()-12)</f>
        <v/>
      </c>
      <c r="C42" s="89"/>
      <c r="D42" s="89"/>
      <c r="E42" s="89"/>
      <c r="F42" s="89"/>
      <c r="G42" s="89"/>
      <c r="H42" s="90"/>
      <c r="I42" s="91"/>
      <c r="J42" s="89"/>
      <c r="K42" s="91"/>
      <c r="L42" s="92"/>
      <c r="M42" s="89"/>
      <c r="N42" s="89"/>
      <c r="O42" s="91"/>
      <c r="P42" s="93" t="str">
        <f aca="false">IF(OR(D42="",M42="Fechou",M42="Não agora"),"",IF(O42&lt;&gt;"",O42,IF(K42="","",IF(M42="Proposta entregue",K42+2,IF(M42="Follow-up 48h feito",K42+7,IF(M42="Follow-up 7 dias feito",K42+21,""))))))</f>
        <v/>
      </c>
      <c r="Q42" s="89"/>
    </row>
    <row r="43" customFormat="false" ht="21.75" hidden="false" customHeight="true" outlineLevel="0" collapsed="false">
      <c r="B43" s="83" t="str">
        <f aca="false">IF(D43="","",ROW()-12)</f>
        <v/>
      </c>
      <c r="C43" s="89"/>
      <c r="D43" s="89"/>
      <c r="E43" s="89"/>
      <c r="F43" s="89"/>
      <c r="G43" s="89"/>
      <c r="H43" s="90"/>
      <c r="I43" s="91"/>
      <c r="J43" s="89"/>
      <c r="K43" s="91"/>
      <c r="L43" s="92"/>
      <c r="M43" s="89"/>
      <c r="N43" s="89"/>
      <c r="O43" s="91"/>
      <c r="P43" s="93" t="str">
        <f aca="false">IF(OR(D43="",M43="Fechou",M43="Não agora"),"",IF(O43&lt;&gt;"",O43,IF(K43="","",IF(M43="Proposta entregue",K43+2,IF(M43="Follow-up 48h feito",K43+7,IF(M43="Follow-up 7 dias feito",K43+21,""))))))</f>
        <v/>
      </c>
      <c r="Q43" s="89"/>
    </row>
    <row r="44" customFormat="false" ht="21.75" hidden="false" customHeight="true" outlineLevel="0" collapsed="false">
      <c r="B44" s="83" t="str">
        <f aca="false">IF(D44="","",ROW()-12)</f>
        <v/>
      </c>
      <c r="C44" s="89"/>
      <c r="D44" s="89"/>
      <c r="E44" s="89"/>
      <c r="F44" s="89"/>
      <c r="G44" s="89"/>
      <c r="H44" s="90"/>
      <c r="I44" s="91"/>
      <c r="J44" s="89"/>
      <c r="K44" s="91"/>
      <c r="L44" s="92"/>
      <c r="M44" s="89"/>
      <c r="N44" s="89"/>
      <c r="O44" s="91"/>
      <c r="P44" s="93" t="str">
        <f aca="false">IF(OR(D44="",M44="Fechou",M44="Não agora"),"",IF(O44&lt;&gt;"",O44,IF(K44="","",IF(M44="Proposta entregue",K44+2,IF(M44="Follow-up 48h feito",K44+7,IF(M44="Follow-up 7 dias feito",K44+21,""))))))</f>
        <v/>
      </c>
      <c r="Q44" s="89"/>
    </row>
    <row r="45" customFormat="false" ht="21.75" hidden="false" customHeight="true" outlineLevel="0" collapsed="false">
      <c r="B45" s="83" t="str">
        <f aca="false">IF(D45="","",ROW()-12)</f>
        <v/>
      </c>
      <c r="C45" s="89"/>
      <c r="D45" s="89"/>
      <c r="E45" s="89"/>
      <c r="F45" s="89"/>
      <c r="G45" s="89"/>
      <c r="H45" s="90"/>
      <c r="I45" s="91"/>
      <c r="J45" s="89"/>
      <c r="K45" s="91"/>
      <c r="L45" s="92"/>
      <c r="M45" s="89"/>
      <c r="N45" s="89"/>
      <c r="O45" s="91"/>
      <c r="P45" s="93" t="str">
        <f aca="false">IF(OR(D45="",M45="Fechou",M45="Não agora"),"",IF(O45&lt;&gt;"",O45,IF(K45="","",IF(M45="Proposta entregue",K45+2,IF(M45="Follow-up 48h feito",K45+7,IF(M45="Follow-up 7 dias feito",K45+21,""))))))</f>
        <v/>
      </c>
      <c r="Q45" s="89"/>
    </row>
    <row r="46" customFormat="false" ht="21.75" hidden="false" customHeight="true" outlineLevel="0" collapsed="false">
      <c r="B46" s="83" t="str">
        <f aca="false">IF(D46="","",ROW()-12)</f>
        <v/>
      </c>
      <c r="C46" s="89"/>
      <c r="D46" s="89"/>
      <c r="E46" s="89"/>
      <c r="F46" s="89"/>
      <c r="G46" s="89"/>
      <c r="H46" s="90"/>
      <c r="I46" s="91"/>
      <c r="J46" s="89"/>
      <c r="K46" s="91"/>
      <c r="L46" s="92"/>
      <c r="M46" s="89"/>
      <c r="N46" s="89"/>
      <c r="O46" s="91"/>
      <c r="P46" s="93" t="str">
        <f aca="false">IF(OR(D46="",M46="Fechou",M46="Não agora"),"",IF(O46&lt;&gt;"",O46,IF(K46="","",IF(M46="Proposta entregue",K46+2,IF(M46="Follow-up 48h feito",K46+7,IF(M46="Follow-up 7 dias feito",K46+21,""))))))</f>
        <v/>
      </c>
      <c r="Q46" s="89"/>
    </row>
    <row r="47" customFormat="false" ht="21.75" hidden="false" customHeight="true" outlineLevel="0" collapsed="false">
      <c r="B47" s="83" t="str">
        <f aca="false">IF(D47="","",ROW()-12)</f>
        <v/>
      </c>
      <c r="C47" s="89"/>
      <c r="D47" s="89"/>
      <c r="E47" s="89"/>
      <c r="F47" s="89"/>
      <c r="G47" s="89"/>
      <c r="H47" s="90"/>
      <c r="I47" s="91"/>
      <c r="J47" s="89"/>
      <c r="K47" s="91"/>
      <c r="L47" s="92"/>
      <c r="M47" s="89"/>
      <c r="N47" s="89"/>
      <c r="O47" s="91"/>
      <c r="P47" s="93" t="str">
        <f aca="false">IF(OR(D47="",M47="Fechou",M47="Não agora"),"",IF(O47&lt;&gt;"",O47,IF(K47="","",IF(M47="Proposta entregue",K47+2,IF(M47="Follow-up 48h feito",K47+7,IF(M47="Follow-up 7 dias feito",K47+21,""))))))</f>
        <v/>
      </c>
      <c r="Q47" s="89"/>
    </row>
    <row r="48" customFormat="false" ht="21.75" hidden="false" customHeight="true" outlineLevel="0" collapsed="false">
      <c r="B48" s="83" t="str">
        <f aca="false">IF(D48="","",ROW()-12)</f>
        <v/>
      </c>
      <c r="C48" s="89"/>
      <c r="D48" s="89"/>
      <c r="E48" s="89"/>
      <c r="F48" s="89"/>
      <c r="G48" s="89"/>
      <c r="H48" s="90"/>
      <c r="I48" s="91"/>
      <c r="J48" s="89"/>
      <c r="K48" s="91"/>
      <c r="L48" s="92"/>
      <c r="M48" s="89"/>
      <c r="N48" s="89"/>
      <c r="O48" s="91"/>
      <c r="P48" s="93" t="str">
        <f aca="false">IF(OR(D48="",M48="Fechou",M48="Não agora"),"",IF(O48&lt;&gt;"",O48,IF(K48="","",IF(M48="Proposta entregue",K48+2,IF(M48="Follow-up 48h feito",K48+7,IF(M48="Follow-up 7 dias feito",K48+21,""))))))</f>
        <v/>
      </c>
      <c r="Q48" s="89"/>
    </row>
    <row r="49" customFormat="false" ht="21.75" hidden="false" customHeight="true" outlineLevel="0" collapsed="false">
      <c r="B49" s="83" t="str">
        <f aca="false">IF(D49="","",ROW()-12)</f>
        <v/>
      </c>
      <c r="C49" s="89"/>
      <c r="D49" s="89"/>
      <c r="E49" s="89"/>
      <c r="F49" s="89"/>
      <c r="G49" s="89"/>
      <c r="H49" s="90"/>
      <c r="I49" s="91"/>
      <c r="J49" s="89"/>
      <c r="K49" s="91"/>
      <c r="L49" s="92"/>
      <c r="M49" s="89"/>
      <c r="N49" s="89"/>
      <c r="O49" s="91"/>
      <c r="P49" s="93" t="str">
        <f aca="false">IF(OR(D49="",M49="Fechou",M49="Não agora"),"",IF(O49&lt;&gt;"",O49,IF(K49="","",IF(M49="Proposta entregue",K49+2,IF(M49="Follow-up 48h feito",K49+7,IF(M49="Follow-up 7 dias feito",K49+21,""))))))</f>
        <v/>
      </c>
      <c r="Q49" s="89"/>
    </row>
    <row r="50" customFormat="false" ht="21.75" hidden="false" customHeight="true" outlineLevel="0" collapsed="false">
      <c r="B50" s="83" t="str">
        <f aca="false">IF(D50="","",ROW()-12)</f>
        <v/>
      </c>
      <c r="C50" s="89"/>
      <c r="D50" s="89"/>
      <c r="E50" s="89"/>
      <c r="F50" s="89"/>
      <c r="G50" s="89"/>
      <c r="H50" s="90"/>
      <c r="I50" s="91"/>
      <c r="J50" s="89"/>
      <c r="K50" s="91"/>
      <c r="L50" s="92"/>
      <c r="M50" s="89"/>
      <c r="N50" s="89"/>
      <c r="O50" s="91"/>
      <c r="P50" s="93" t="str">
        <f aca="false">IF(OR(D50="",M50="Fechou",M50="Não agora"),"",IF(O50&lt;&gt;"",O50,IF(K50="","",IF(M50="Proposta entregue",K50+2,IF(M50="Follow-up 48h feito",K50+7,IF(M50="Follow-up 7 dias feito",K50+21,""))))))</f>
        <v/>
      </c>
      <c r="Q50" s="89"/>
    </row>
    <row r="51" customFormat="false" ht="21.75" hidden="false" customHeight="true" outlineLevel="0" collapsed="false">
      <c r="B51" s="83" t="str">
        <f aca="false">IF(D51="","",ROW()-12)</f>
        <v/>
      </c>
      <c r="C51" s="89"/>
      <c r="D51" s="89"/>
      <c r="E51" s="89"/>
      <c r="F51" s="89"/>
      <c r="G51" s="89"/>
      <c r="H51" s="90"/>
      <c r="I51" s="91"/>
      <c r="J51" s="89"/>
      <c r="K51" s="91"/>
      <c r="L51" s="92"/>
      <c r="M51" s="89"/>
      <c r="N51" s="89"/>
      <c r="O51" s="91"/>
      <c r="P51" s="93" t="str">
        <f aca="false">IF(OR(D51="",M51="Fechou",M51="Não agora"),"",IF(O51&lt;&gt;"",O51,IF(K51="","",IF(M51="Proposta entregue",K51+2,IF(M51="Follow-up 48h feito",K51+7,IF(M51="Follow-up 7 dias feito",K51+21,""))))))</f>
        <v/>
      </c>
      <c r="Q51" s="89"/>
    </row>
    <row r="52" customFormat="false" ht="21.75" hidden="false" customHeight="true" outlineLevel="0" collapsed="false">
      <c r="B52" s="83" t="str">
        <f aca="false">IF(D52="","",ROW()-12)</f>
        <v/>
      </c>
      <c r="C52" s="89"/>
      <c r="D52" s="89"/>
      <c r="E52" s="89"/>
      <c r="F52" s="89"/>
      <c r="G52" s="89"/>
      <c r="H52" s="90"/>
      <c r="I52" s="91"/>
      <c r="J52" s="89"/>
      <c r="K52" s="91"/>
      <c r="L52" s="92"/>
      <c r="M52" s="89"/>
      <c r="N52" s="89"/>
      <c r="O52" s="91"/>
      <c r="P52" s="93" t="str">
        <f aca="false">IF(OR(D52="",M52="Fechou",M52="Não agora"),"",IF(O52&lt;&gt;"",O52,IF(K52="","",IF(M52="Proposta entregue",K52+2,IF(M52="Follow-up 48h feito",K52+7,IF(M52="Follow-up 7 dias feito",K52+21,""))))))</f>
        <v/>
      </c>
      <c r="Q52" s="89"/>
    </row>
    <row r="53" customFormat="false" ht="21.75" hidden="false" customHeight="true" outlineLevel="0" collapsed="false">
      <c r="B53" s="83" t="str">
        <f aca="false">IF(D53="","",ROW()-12)</f>
        <v/>
      </c>
      <c r="C53" s="89"/>
      <c r="D53" s="89"/>
      <c r="E53" s="89"/>
      <c r="F53" s="89"/>
      <c r="G53" s="89"/>
      <c r="H53" s="90"/>
      <c r="I53" s="91"/>
      <c r="J53" s="89"/>
      <c r="K53" s="91"/>
      <c r="L53" s="92"/>
      <c r="M53" s="89"/>
      <c r="N53" s="89"/>
      <c r="O53" s="91"/>
      <c r="P53" s="93" t="str">
        <f aca="false">IF(OR(D53="",M53="Fechou",M53="Não agora"),"",IF(O53&lt;&gt;"",O53,IF(K53="","",IF(M53="Proposta entregue",K53+2,IF(M53="Follow-up 48h feito",K53+7,IF(M53="Follow-up 7 dias feito",K53+21,""))))))</f>
        <v/>
      </c>
      <c r="Q53" s="89"/>
    </row>
    <row r="54" customFormat="false" ht="21.75" hidden="false" customHeight="true" outlineLevel="0" collapsed="false">
      <c r="B54" s="83" t="str">
        <f aca="false">IF(D54="","",ROW()-12)</f>
        <v/>
      </c>
      <c r="C54" s="89"/>
      <c r="D54" s="89"/>
      <c r="E54" s="89"/>
      <c r="F54" s="89"/>
      <c r="G54" s="89"/>
      <c r="H54" s="90"/>
      <c r="I54" s="91"/>
      <c r="J54" s="89"/>
      <c r="K54" s="91"/>
      <c r="L54" s="92"/>
      <c r="M54" s="89"/>
      <c r="N54" s="89"/>
      <c r="O54" s="91"/>
      <c r="P54" s="93" t="str">
        <f aca="false">IF(OR(D54="",M54="Fechou",M54="Não agora"),"",IF(O54&lt;&gt;"",O54,IF(K54="","",IF(M54="Proposta entregue",K54+2,IF(M54="Follow-up 48h feito",K54+7,IF(M54="Follow-up 7 dias feito",K54+21,""))))))</f>
        <v/>
      </c>
      <c r="Q54" s="89"/>
    </row>
    <row r="55" customFormat="false" ht="21.75" hidden="false" customHeight="true" outlineLevel="0" collapsed="false">
      <c r="B55" s="83" t="str">
        <f aca="false">IF(D55="","",ROW()-12)</f>
        <v/>
      </c>
      <c r="C55" s="89"/>
      <c r="D55" s="89"/>
      <c r="E55" s="89"/>
      <c r="F55" s="89"/>
      <c r="G55" s="89"/>
      <c r="H55" s="90"/>
      <c r="I55" s="91"/>
      <c r="J55" s="89"/>
      <c r="K55" s="91"/>
      <c r="L55" s="92"/>
      <c r="M55" s="89"/>
      <c r="N55" s="89"/>
      <c r="O55" s="91"/>
      <c r="P55" s="93" t="str">
        <f aca="false">IF(OR(D55="",M55="Fechou",M55="Não agora"),"",IF(O55&lt;&gt;"",O55,IF(K55="","",IF(M55="Proposta entregue",K55+2,IF(M55="Follow-up 48h feito",K55+7,IF(M55="Follow-up 7 dias feito",K55+21,""))))))</f>
        <v/>
      </c>
      <c r="Q55" s="89"/>
    </row>
    <row r="56" customFormat="false" ht="21.75" hidden="false" customHeight="true" outlineLevel="0" collapsed="false">
      <c r="B56" s="83" t="str">
        <f aca="false">IF(D56="","",ROW()-12)</f>
        <v/>
      </c>
      <c r="C56" s="89"/>
      <c r="D56" s="89"/>
      <c r="E56" s="89"/>
      <c r="F56" s="89"/>
      <c r="G56" s="89"/>
      <c r="H56" s="90"/>
      <c r="I56" s="91"/>
      <c r="J56" s="89"/>
      <c r="K56" s="91"/>
      <c r="L56" s="92"/>
      <c r="M56" s="89"/>
      <c r="N56" s="89"/>
      <c r="O56" s="91"/>
      <c r="P56" s="93" t="str">
        <f aca="false">IF(OR(D56="",M56="Fechou",M56="Não agora"),"",IF(O56&lt;&gt;"",O56,IF(K56="","",IF(M56="Proposta entregue",K56+2,IF(M56="Follow-up 48h feito",K56+7,IF(M56="Follow-up 7 dias feito",K56+21,""))))))</f>
        <v/>
      </c>
      <c r="Q56" s="89"/>
    </row>
    <row r="57" customFormat="false" ht="21.75" hidden="false" customHeight="true" outlineLevel="0" collapsed="false">
      <c r="B57" s="83" t="str">
        <f aca="false">IF(D57="","",ROW()-12)</f>
        <v/>
      </c>
      <c r="C57" s="89"/>
      <c r="D57" s="89"/>
      <c r="E57" s="89"/>
      <c r="F57" s="89"/>
      <c r="G57" s="89"/>
      <c r="H57" s="90"/>
      <c r="I57" s="91"/>
      <c r="J57" s="89"/>
      <c r="K57" s="91"/>
      <c r="L57" s="92"/>
      <c r="M57" s="89"/>
      <c r="N57" s="89"/>
      <c r="O57" s="91"/>
      <c r="P57" s="93" t="str">
        <f aca="false">IF(OR(D57="",M57="Fechou",M57="Não agora"),"",IF(O57&lt;&gt;"",O57,IF(K57="","",IF(M57="Proposta entregue",K57+2,IF(M57="Follow-up 48h feito",K57+7,IF(M57="Follow-up 7 dias feito",K57+21,""))))))</f>
        <v/>
      </c>
      <c r="Q57" s="89"/>
    </row>
    <row r="58" customFormat="false" ht="21.75" hidden="false" customHeight="true" outlineLevel="0" collapsed="false">
      <c r="B58" s="83" t="str">
        <f aca="false">IF(D58="","",ROW()-12)</f>
        <v/>
      </c>
      <c r="C58" s="89"/>
      <c r="D58" s="89"/>
      <c r="E58" s="89"/>
      <c r="F58" s="89"/>
      <c r="G58" s="89"/>
      <c r="H58" s="90"/>
      <c r="I58" s="91"/>
      <c r="J58" s="89"/>
      <c r="K58" s="91"/>
      <c r="L58" s="92"/>
      <c r="M58" s="89"/>
      <c r="N58" s="89"/>
      <c r="O58" s="91"/>
      <c r="P58" s="93" t="str">
        <f aca="false">IF(OR(D58="",M58="Fechou",M58="Não agora"),"",IF(O58&lt;&gt;"",O58,IF(K58="","",IF(M58="Proposta entregue",K58+2,IF(M58="Follow-up 48h feito",K58+7,IF(M58="Follow-up 7 dias feito",K58+21,""))))))</f>
        <v/>
      </c>
      <c r="Q58" s="89"/>
    </row>
    <row r="59" customFormat="false" ht="21.75" hidden="false" customHeight="true" outlineLevel="0" collapsed="false">
      <c r="B59" s="83" t="str">
        <f aca="false">IF(D59="","",ROW()-12)</f>
        <v/>
      </c>
      <c r="C59" s="89"/>
      <c r="D59" s="89"/>
      <c r="E59" s="89"/>
      <c r="F59" s="89"/>
      <c r="G59" s="89"/>
      <c r="H59" s="90"/>
      <c r="I59" s="91"/>
      <c r="J59" s="89"/>
      <c r="K59" s="91"/>
      <c r="L59" s="92"/>
      <c r="M59" s="89"/>
      <c r="N59" s="89"/>
      <c r="O59" s="91"/>
      <c r="P59" s="93" t="str">
        <f aca="false">IF(OR(D59="",M59="Fechou",M59="Não agora"),"",IF(O59&lt;&gt;"",O59,IF(K59="","",IF(M59="Proposta entregue",K59+2,IF(M59="Follow-up 48h feito",K59+7,IF(M59="Follow-up 7 dias feito",K59+21,""))))))</f>
        <v/>
      </c>
      <c r="Q59" s="89"/>
    </row>
    <row r="60" customFormat="false" ht="21.75" hidden="false" customHeight="true" outlineLevel="0" collapsed="false">
      <c r="B60" s="83" t="str">
        <f aca="false">IF(D60="","",ROW()-12)</f>
        <v/>
      </c>
      <c r="C60" s="89"/>
      <c r="D60" s="89"/>
      <c r="E60" s="89"/>
      <c r="F60" s="89"/>
      <c r="G60" s="89"/>
      <c r="H60" s="90"/>
      <c r="I60" s="91"/>
      <c r="J60" s="89"/>
      <c r="K60" s="91"/>
      <c r="L60" s="92"/>
      <c r="M60" s="89"/>
      <c r="N60" s="89"/>
      <c r="O60" s="91"/>
      <c r="P60" s="93" t="str">
        <f aca="false">IF(OR(D60="",M60="Fechou",M60="Não agora"),"",IF(O60&lt;&gt;"",O60,IF(K60="","",IF(M60="Proposta entregue",K60+2,IF(M60="Follow-up 48h feito",K60+7,IF(M60="Follow-up 7 dias feito",K60+21,""))))))</f>
        <v/>
      </c>
      <c r="Q60" s="89"/>
    </row>
    <row r="61" customFormat="false" ht="21.75" hidden="false" customHeight="true" outlineLevel="0" collapsed="false">
      <c r="B61" s="83" t="str">
        <f aca="false">IF(D61="","",ROW()-12)</f>
        <v/>
      </c>
      <c r="C61" s="89"/>
      <c r="D61" s="89"/>
      <c r="E61" s="89"/>
      <c r="F61" s="89"/>
      <c r="G61" s="89"/>
      <c r="H61" s="90"/>
      <c r="I61" s="91"/>
      <c r="J61" s="89"/>
      <c r="K61" s="91"/>
      <c r="L61" s="92"/>
      <c r="M61" s="89"/>
      <c r="N61" s="89"/>
      <c r="O61" s="91"/>
      <c r="P61" s="93" t="str">
        <f aca="false">IF(OR(D61="",M61="Fechou",M61="Não agora"),"",IF(O61&lt;&gt;"",O61,IF(K61="","",IF(M61="Proposta entregue",K61+2,IF(M61="Follow-up 48h feito",K61+7,IF(M61="Follow-up 7 dias feito",K61+21,""))))))</f>
        <v/>
      </c>
      <c r="Q61" s="89"/>
    </row>
    <row r="62" customFormat="false" ht="21.75" hidden="false" customHeight="true" outlineLevel="0" collapsed="false">
      <c r="B62" s="83" t="str">
        <f aca="false">IF(D62="","",ROW()-12)</f>
        <v/>
      </c>
      <c r="C62" s="89"/>
      <c r="D62" s="89"/>
      <c r="E62" s="89"/>
      <c r="F62" s="89"/>
      <c r="G62" s="89"/>
      <c r="H62" s="90"/>
      <c r="I62" s="91"/>
      <c r="J62" s="89"/>
      <c r="K62" s="91"/>
      <c r="L62" s="92"/>
      <c r="M62" s="89"/>
      <c r="N62" s="89"/>
      <c r="O62" s="91"/>
      <c r="P62" s="93" t="str">
        <f aca="false">IF(OR(D62="",M62="Fechou",M62="Não agora"),"",IF(O62&lt;&gt;"",O62,IF(K62="","",IF(M62="Proposta entregue",K62+2,IF(M62="Follow-up 48h feito",K62+7,IF(M62="Follow-up 7 dias feito",K62+21,""))))))</f>
        <v/>
      </c>
      <c r="Q62" s="89"/>
    </row>
    <row r="63" customFormat="false" ht="21.75" hidden="false" customHeight="true" outlineLevel="0" collapsed="false">
      <c r="B63" s="83" t="str">
        <f aca="false">IF(D63="","",ROW()-12)</f>
        <v/>
      </c>
      <c r="C63" s="89"/>
      <c r="D63" s="89"/>
      <c r="E63" s="89"/>
      <c r="F63" s="89"/>
      <c r="G63" s="89"/>
      <c r="H63" s="90"/>
      <c r="I63" s="91"/>
      <c r="J63" s="89"/>
      <c r="K63" s="91"/>
      <c r="L63" s="92"/>
      <c r="M63" s="89"/>
      <c r="N63" s="89"/>
      <c r="O63" s="91"/>
      <c r="P63" s="93" t="str">
        <f aca="false">IF(OR(D63="",M63="Fechou",M63="Não agora"),"",IF(O63&lt;&gt;"",O63,IF(K63="","",IF(M63="Proposta entregue",K63+2,IF(M63="Follow-up 48h feito",K63+7,IF(M63="Follow-up 7 dias feito",K63+21,""))))))</f>
        <v/>
      </c>
      <c r="Q63" s="89"/>
    </row>
    <row r="64" customFormat="false" ht="21.75" hidden="false" customHeight="true" outlineLevel="0" collapsed="false">
      <c r="B64" s="83" t="str">
        <f aca="false">IF(D64="","",ROW()-12)</f>
        <v/>
      </c>
      <c r="C64" s="89"/>
      <c r="D64" s="89"/>
      <c r="E64" s="89"/>
      <c r="F64" s="89"/>
      <c r="G64" s="89"/>
      <c r="H64" s="90"/>
      <c r="I64" s="91"/>
      <c r="J64" s="89"/>
      <c r="K64" s="91"/>
      <c r="L64" s="92"/>
      <c r="M64" s="89"/>
      <c r="N64" s="89"/>
      <c r="O64" s="91"/>
      <c r="P64" s="93" t="str">
        <f aca="false">IF(OR(D64="",M64="Fechou",M64="Não agora"),"",IF(O64&lt;&gt;"",O64,IF(K64="","",IF(M64="Proposta entregue",K64+2,IF(M64="Follow-up 48h feito",K64+7,IF(M64="Follow-up 7 dias feito",K64+21,""))))))</f>
        <v/>
      </c>
      <c r="Q64" s="89"/>
    </row>
    <row r="65" customFormat="false" ht="21.75" hidden="false" customHeight="true" outlineLevel="0" collapsed="false">
      <c r="B65" s="83" t="str">
        <f aca="false">IF(D65="","",ROW()-12)</f>
        <v/>
      </c>
      <c r="C65" s="89"/>
      <c r="D65" s="89"/>
      <c r="E65" s="89"/>
      <c r="F65" s="89"/>
      <c r="G65" s="89"/>
      <c r="H65" s="90"/>
      <c r="I65" s="91"/>
      <c r="J65" s="89"/>
      <c r="K65" s="91"/>
      <c r="L65" s="92"/>
      <c r="M65" s="89"/>
      <c r="N65" s="89"/>
      <c r="O65" s="91"/>
      <c r="P65" s="93" t="str">
        <f aca="false">IF(OR(D65="",M65="Fechou",M65="Não agora"),"",IF(O65&lt;&gt;"",O65,IF(K65="","",IF(M65="Proposta entregue",K65+2,IF(M65="Follow-up 48h feito",K65+7,IF(M65="Follow-up 7 dias feito",K65+21,""))))))</f>
        <v/>
      </c>
      <c r="Q65" s="89"/>
    </row>
    <row r="66" customFormat="false" ht="21.75" hidden="false" customHeight="true" outlineLevel="0" collapsed="false">
      <c r="B66" s="83" t="str">
        <f aca="false">IF(D66="","",ROW()-12)</f>
        <v/>
      </c>
      <c r="C66" s="89"/>
      <c r="D66" s="89"/>
      <c r="E66" s="89"/>
      <c r="F66" s="89"/>
      <c r="G66" s="89"/>
      <c r="H66" s="90"/>
      <c r="I66" s="91"/>
      <c r="J66" s="89"/>
      <c r="K66" s="91"/>
      <c r="L66" s="92"/>
      <c r="M66" s="89"/>
      <c r="N66" s="89"/>
      <c r="O66" s="91"/>
      <c r="P66" s="93" t="str">
        <f aca="false">IF(OR(D66="",M66="Fechou",M66="Não agora"),"",IF(O66&lt;&gt;"",O66,IF(K66="","",IF(M66="Proposta entregue",K66+2,IF(M66="Follow-up 48h feito",K66+7,IF(M66="Follow-up 7 dias feito",K66+21,""))))))</f>
        <v/>
      </c>
      <c r="Q66" s="89"/>
    </row>
    <row r="67" customFormat="false" ht="21.75" hidden="false" customHeight="true" outlineLevel="0" collapsed="false">
      <c r="B67" s="83" t="str">
        <f aca="false">IF(D67="","",ROW()-12)</f>
        <v/>
      </c>
      <c r="C67" s="89"/>
      <c r="D67" s="89"/>
      <c r="E67" s="89"/>
      <c r="F67" s="89"/>
      <c r="G67" s="89"/>
      <c r="H67" s="90"/>
      <c r="I67" s="91"/>
      <c r="J67" s="89"/>
      <c r="K67" s="91"/>
      <c r="L67" s="92"/>
      <c r="M67" s="89"/>
      <c r="N67" s="89"/>
      <c r="O67" s="91"/>
      <c r="P67" s="93" t="str">
        <f aca="false">IF(OR(D67="",M67="Fechou",M67="Não agora"),"",IF(O67&lt;&gt;"",O67,IF(K67="","",IF(M67="Proposta entregue",K67+2,IF(M67="Follow-up 48h feito",K67+7,IF(M67="Follow-up 7 dias feito",K67+21,""))))))</f>
        <v/>
      </c>
      <c r="Q67" s="89"/>
    </row>
    <row r="68" customFormat="false" ht="21.75" hidden="false" customHeight="true" outlineLevel="0" collapsed="false">
      <c r="B68" s="83" t="str">
        <f aca="false">IF(D68="","",ROW()-12)</f>
        <v/>
      </c>
      <c r="C68" s="89"/>
      <c r="D68" s="89"/>
      <c r="E68" s="89"/>
      <c r="F68" s="89"/>
      <c r="G68" s="89"/>
      <c r="H68" s="90"/>
      <c r="I68" s="91"/>
      <c r="J68" s="89"/>
      <c r="K68" s="91"/>
      <c r="L68" s="92"/>
      <c r="M68" s="89"/>
      <c r="N68" s="89"/>
      <c r="O68" s="91"/>
      <c r="P68" s="93" t="str">
        <f aca="false">IF(OR(D68="",M68="Fechou",M68="Não agora"),"",IF(O68&lt;&gt;"",O68,IF(K68="","",IF(M68="Proposta entregue",K68+2,IF(M68="Follow-up 48h feito",K68+7,IF(M68="Follow-up 7 dias feito",K68+21,""))))))</f>
        <v/>
      </c>
      <c r="Q68" s="89"/>
    </row>
    <row r="69" customFormat="false" ht="21.75" hidden="false" customHeight="true" outlineLevel="0" collapsed="false">
      <c r="B69" s="83" t="str">
        <f aca="false">IF(D69="","",ROW()-12)</f>
        <v/>
      </c>
      <c r="C69" s="89"/>
      <c r="D69" s="89"/>
      <c r="E69" s="89"/>
      <c r="F69" s="89"/>
      <c r="G69" s="89"/>
      <c r="H69" s="90"/>
      <c r="I69" s="91"/>
      <c r="J69" s="89"/>
      <c r="K69" s="91"/>
      <c r="L69" s="92"/>
      <c r="M69" s="89"/>
      <c r="N69" s="89"/>
      <c r="O69" s="91"/>
      <c r="P69" s="93" t="str">
        <f aca="false">IF(OR(D69="",M69="Fechou",M69="Não agora"),"",IF(O69&lt;&gt;"",O69,IF(K69="","",IF(M69="Proposta entregue",K69+2,IF(M69="Follow-up 48h feito",K69+7,IF(M69="Follow-up 7 dias feito",K69+21,""))))))</f>
        <v/>
      </c>
      <c r="Q69" s="89"/>
    </row>
    <row r="70" customFormat="false" ht="21.75" hidden="false" customHeight="true" outlineLevel="0" collapsed="false">
      <c r="B70" s="83" t="str">
        <f aca="false">IF(D70="","",ROW()-12)</f>
        <v/>
      </c>
      <c r="C70" s="89"/>
      <c r="D70" s="89"/>
      <c r="E70" s="89"/>
      <c r="F70" s="89"/>
      <c r="G70" s="89"/>
      <c r="H70" s="90"/>
      <c r="I70" s="91"/>
      <c r="J70" s="89"/>
      <c r="K70" s="91"/>
      <c r="L70" s="92"/>
      <c r="M70" s="89"/>
      <c r="N70" s="89"/>
      <c r="O70" s="91"/>
      <c r="P70" s="93" t="str">
        <f aca="false">IF(OR(D70="",M70="Fechou",M70="Não agora"),"",IF(O70&lt;&gt;"",O70,IF(K70="","",IF(M70="Proposta entregue",K70+2,IF(M70="Follow-up 48h feito",K70+7,IF(M70="Follow-up 7 dias feito",K70+21,""))))))</f>
        <v/>
      </c>
      <c r="Q70" s="89"/>
    </row>
    <row r="71" customFormat="false" ht="21.75" hidden="false" customHeight="true" outlineLevel="0" collapsed="false">
      <c r="B71" s="83" t="str">
        <f aca="false">IF(D71="","",ROW()-12)</f>
        <v/>
      </c>
      <c r="C71" s="89"/>
      <c r="D71" s="89"/>
      <c r="E71" s="89"/>
      <c r="F71" s="89"/>
      <c r="G71" s="89"/>
      <c r="H71" s="90"/>
      <c r="I71" s="91"/>
      <c r="J71" s="89"/>
      <c r="K71" s="91"/>
      <c r="L71" s="92"/>
      <c r="M71" s="89"/>
      <c r="N71" s="89"/>
      <c r="O71" s="91"/>
      <c r="P71" s="93" t="str">
        <f aca="false">IF(OR(D71="",M71="Fechou",M71="Não agora"),"",IF(O71&lt;&gt;"",O71,IF(K71="","",IF(M71="Proposta entregue",K71+2,IF(M71="Follow-up 48h feito",K71+7,IF(M71="Follow-up 7 dias feito",K71+21,""))))))</f>
        <v/>
      </c>
      <c r="Q71" s="89"/>
    </row>
    <row r="72" customFormat="false" ht="21.75" hidden="false" customHeight="true" outlineLevel="0" collapsed="false">
      <c r="B72" s="83" t="str">
        <f aca="false">IF(D72="","",ROW()-12)</f>
        <v/>
      </c>
      <c r="C72" s="89"/>
      <c r="D72" s="89"/>
      <c r="E72" s="89"/>
      <c r="F72" s="89"/>
      <c r="G72" s="89"/>
      <c r="H72" s="90"/>
      <c r="I72" s="91"/>
      <c r="J72" s="89"/>
      <c r="K72" s="91"/>
      <c r="L72" s="92"/>
      <c r="M72" s="89"/>
      <c r="N72" s="89"/>
      <c r="O72" s="91"/>
      <c r="P72" s="93" t="str">
        <f aca="false">IF(OR(D72="",M72="Fechou",M72="Não agora"),"",IF(O72&lt;&gt;"",O72,IF(K72="","",IF(M72="Proposta entregue",K72+2,IF(M72="Follow-up 48h feito",K72+7,IF(M72="Follow-up 7 dias feito",K72+21,""))))))</f>
        <v/>
      </c>
      <c r="Q72" s="89"/>
    </row>
    <row r="73" customFormat="false" ht="21.75" hidden="false" customHeight="true" outlineLevel="0" collapsed="false">
      <c r="B73" s="83" t="str">
        <f aca="false">IF(D73="","",ROW()-12)</f>
        <v/>
      </c>
      <c r="C73" s="89"/>
      <c r="D73" s="89"/>
      <c r="E73" s="89"/>
      <c r="F73" s="89"/>
      <c r="G73" s="89"/>
      <c r="H73" s="90"/>
      <c r="I73" s="91"/>
      <c r="J73" s="89"/>
      <c r="K73" s="91"/>
      <c r="L73" s="92"/>
      <c r="M73" s="89"/>
      <c r="N73" s="89"/>
      <c r="O73" s="91"/>
      <c r="P73" s="93" t="str">
        <f aca="false">IF(OR(D73="",M73="Fechou",M73="Não agora"),"",IF(O73&lt;&gt;"",O73,IF(K73="","",IF(M73="Proposta entregue",K73+2,IF(M73="Follow-up 48h feito",K73+7,IF(M73="Follow-up 7 dias feito",K73+21,""))))))</f>
        <v/>
      </c>
      <c r="Q73" s="89"/>
    </row>
    <row r="74" customFormat="false" ht="21.75" hidden="false" customHeight="true" outlineLevel="0" collapsed="false">
      <c r="B74" s="83" t="str">
        <f aca="false">IF(D74="","",ROW()-12)</f>
        <v/>
      </c>
      <c r="C74" s="89"/>
      <c r="D74" s="89"/>
      <c r="E74" s="89"/>
      <c r="F74" s="89"/>
      <c r="G74" s="89"/>
      <c r="H74" s="90"/>
      <c r="I74" s="91"/>
      <c r="J74" s="89"/>
      <c r="K74" s="91"/>
      <c r="L74" s="92"/>
      <c r="M74" s="89"/>
      <c r="N74" s="89"/>
      <c r="O74" s="91"/>
      <c r="P74" s="93" t="str">
        <f aca="false">IF(OR(D74="",M74="Fechou",M74="Não agora"),"",IF(O74&lt;&gt;"",O74,IF(K74="","",IF(M74="Proposta entregue",K74+2,IF(M74="Follow-up 48h feito",K74+7,IF(M74="Follow-up 7 dias feito",K74+21,""))))))</f>
        <v/>
      </c>
      <c r="Q74" s="89"/>
    </row>
    <row r="75" customFormat="false" ht="21.75" hidden="false" customHeight="true" outlineLevel="0" collapsed="false">
      <c r="B75" s="83" t="str">
        <f aca="false">IF(D75="","",ROW()-12)</f>
        <v/>
      </c>
      <c r="C75" s="89"/>
      <c r="D75" s="89"/>
      <c r="E75" s="89"/>
      <c r="F75" s="89"/>
      <c r="G75" s="89"/>
      <c r="H75" s="90"/>
      <c r="I75" s="91"/>
      <c r="J75" s="89"/>
      <c r="K75" s="91"/>
      <c r="L75" s="92"/>
      <c r="M75" s="89"/>
      <c r="N75" s="89"/>
      <c r="O75" s="91"/>
      <c r="P75" s="93" t="str">
        <f aca="false">IF(OR(D75="",M75="Fechou",M75="Não agora"),"",IF(O75&lt;&gt;"",O75,IF(K75="","",IF(M75="Proposta entregue",K75+2,IF(M75="Follow-up 48h feito",K75+7,IF(M75="Follow-up 7 dias feito",K75+21,""))))))</f>
        <v/>
      </c>
      <c r="Q75" s="89"/>
    </row>
    <row r="76" customFormat="false" ht="21.75" hidden="false" customHeight="true" outlineLevel="0" collapsed="false">
      <c r="B76" s="83" t="str">
        <f aca="false">IF(D76="","",ROW()-12)</f>
        <v/>
      </c>
      <c r="C76" s="89"/>
      <c r="D76" s="89"/>
      <c r="E76" s="89"/>
      <c r="F76" s="89"/>
      <c r="G76" s="89"/>
      <c r="H76" s="90"/>
      <c r="I76" s="91"/>
      <c r="J76" s="89"/>
      <c r="K76" s="91"/>
      <c r="L76" s="92"/>
      <c r="M76" s="89"/>
      <c r="N76" s="89"/>
      <c r="O76" s="91"/>
      <c r="P76" s="93" t="str">
        <f aca="false">IF(OR(D76="",M76="Fechou",M76="Não agora"),"",IF(O76&lt;&gt;"",O76,IF(K76="","",IF(M76="Proposta entregue",K76+2,IF(M76="Follow-up 48h feito",K76+7,IF(M76="Follow-up 7 dias feito",K76+21,""))))))</f>
        <v/>
      </c>
      <c r="Q76" s="89"/>
    </row>
    <row r="77" customFormat="false" ht="21.75" hidden="false" customHeight="true" outlineLevel="0" collapsed="false">
      <c r="B77" s="83" t="str">
        <f aca="false">IF(D77="","",ROW()-12)</f>
        <v/>
      </c>
      <c r="C77" s="89"/>
      <c r="D77" s="89"/>
      <c r="E77" s="89"/>
      <c r="F77" s="89"/>
      <c r="G77" s="89"/>
      <c r="H77" s="90"/>
      <c r="I77" s="91"/>
      <c r="J77" s="89"/>
      <c r="K77" s="91"/>
      <c r="L77" s="92"/>
      <c r="M77" s="89"/>
      <c r="N77" s="89"/>
      <c r="O77" s="91"/>
      <c r="P77" s="93" t="str">
        <f aca="false">IF(OR(D77="",M77="Fechou",M77="Não agora"),"",IF(O77&lt;&gt;"",O77,IF(K77="","",IF(M77="Proposta entregue",K77+2,IF(M77="Follow-up 48h feito",K77+7,IF(M77="Follow-up 7 dias feito",K77+21,""))))))</f>
        <v/>
      </c>
      <c r="Q77" s="89"/>
    </row>
    <row r="78" customFormat="false" ht="21.75" hidden="false" customHeight="true" outlineLevel="0" collapsed="false">
      <c r="B78" s="83" t="str">
        <f aca="false">IF(D78="","",ROW()-12)</f>
        <v/>
      </c>
      <c r="C78" s="89"/>
      <c r="D78" s="89"/>
      <c r="E78" s="89"/>
      <c r="F78" s="89"/>
      <c r="G78" s="89"/>
      <c r="H78" s="90"/>
      <c r="I78" s="91"/>
      <c r="J78" s="89"/>
      <c r="K78" s="91"/>
      <c r="L78" s="92"/>
      <c r="M78" s="89"/>
      <c r="N78" s="89"/>
      <c r="O78" s="91"/>
      <c r="P78" s="93" t="str">
        <f aca="false">IF(OR(D78="",M78="Fechou",M78="Não agora"),"",IF(O78&lt;&gt;"",O78,IF(K78="","",IF(M78="Proposta entregue",K78+2,IF(M78="Follow-up 48h feito",K78+7,IF(M78="Follow-up 7 dias feito",K78+21,""))))))</f>
        <v/>
      </c>
      <c r="Q78" s="89"/>
    </row>
    <row r="79" customFormat="false" ht="21.75" hidden="false" customHeight="true" outlineLevel="0" collapsed="false">
      <c r="B79" s="83" t="str">
        <f aca="false">IF(D79="","",ROW()-12)</f>
        <v/>
      </c>
      <c r="C79" s="89"/>
      <c r="D79" s="89"/>
      <c r="E79" s="89"/>
      <c r="F79" s="89"/>
      <c r="G79" s="89"/>
      <c r="H79" s="90"/>
      <c r="I79" s="91"/>
      <c r="J79" s="89"/>
      <c r="K79" s="91"/>
      <c r="L79" s="92"/>
      <c r="M79" s="89"/>
      <c r="N79" s="89"/>
      <c r="O79" s="91"/>
      <c r="P79" s="93" t="str">
        <f aca="false">IF(OR(D79="",M79="Fechou",M79="Não agora"),"",IF(O79&lt;&gt;"",O79,IF(K79="","",IF(M79="Proposta entregue",K79+2,IF(M79="Follow-up 48h feito",K79+7,IF(M79="Follow-up 7 dias feito",K79+21,""))))))</f>
        <v/>
      </c>
      <c r="Q79" s="89"/>
    </row>
    <row r="80" customFormat="false" ht="21.75" hidden="false" customHeight="true" outlineLevel="0" collapsed="false">
      <c r="B80" s="83" t="str">
        <f aca="false">IF(D80="","",ROW()-12)</f>
        <v/>
      </c>
      <c r="C80" s="89"/>
      <c r="D80" s="89"/>
      <c r="E80" s="89"/>
      <c r="F80" s="89"/>
      <c r="G80" s="89"/>
      <c r="H80" s="90"/>
      <c r="I80" s="91"/>
      <c r="J80" s="89"/>
      <c r="K80" s="91"/>
      <c r="L80" s="92"/>
      <c r="M80" s="89"/>
      <c r="N80" s="89"/>
      <c r="O80" s="91"/>
      <c r="P80" s="93" t="str">
        <f aca="false">IF(OR(D80="",M80="Fechou",M80="Não agora"),"",IF(O80&lt;&gt;"",O80,IF(K80="","",IF(M80="Proposta entregue",K80+2,IF(M80="Follow-up 48h feito",K80+7,IF(M80="Follow-up 7 dias feito",K80+21,""))))))</f>
        <v/>
      </c>
      <c r="Q80" s="89"/>
    </row>
    <row r="81" customFormat="false" ht="21.75" hidden="false" customHeight="true" outlineLevel="0" collapsed="false">
      <c r="B81" s="83" t="str">
        <f aca="false">IF(D81="","",ROW()-12)</f>
        <v/>
      </c>
      <c r="C81" s="89"/>
      <c r="D81" s="89"/>
      <c r="E81" s="89"/>
      <c r="F81" s="89"/>
      <c r="G81" s="89"/>
      <c r="H81" s="90"/>
      <c r="I81" s="91"/>
      <c r="J81" s="89"/>
      <c r="K81" s="91"/>
      <c r="L81" s="92"/>
      <c r="M81" s="89"/>
      <c r="N81" s="89"/>
      <c r="O81" s="91"/>
      <c r="P81" s="93" t="str">
        <f aca="false">IF(OR(D81="",M81="Fechou",M81="Não agora"),"",IF(O81&lt;&gt;"",O81,IF(K81="","",IF(M81="Proposta entregue",K81+2,IF(M81="Follow-up 48h feito",K81+7,IF(M81="Follow-up 7 dias feito",K81+21,""))))))</f>
        <v/>
      </c>
      <c r="Q81" s="89"/>
    </row>
    <row r="82" customFormat="false" ht="21.75" hidden="false" customHeight="true" outlineLevel="0" collapsed="false">
      <c r="B82" s="83" t="str">
        <f aca="false">IF(D82="","",ROW()-12)</f>
        <v/>
      </c>
      <c r="C82" s="89"/>
      <c r="D82" s="89"/>
      <c r="E82" s="89"/>
      <c r="F82" s="89"/>
      <c r="G82" s="89"/>
      <c r="H82" s="90"/>
      <c r="I82" s="91"/>
      <c r="J82" s="89"/>
      <c r="K82" s="91"/>
      <c r="L82" s="92"/>
      <c r="M82" s="89"/>
      <c r="N82" s="89"/>
      <c r="O82" s="91"/>
      <c r="P82" s="93" t="str">
        <f aca="false">IF(OR(D82="",M82="Fechou",M82="Não agora"),"",IF(O82&lt;&gt;"",O82,IF(K82="","",IF(M82="Proposta entregue",K82+2,IF(M82="Follow-up 48h feito",K82+7,IF(M82="Follow-up 7 dias feito",K82+21,""))))))</f>
        <v/>
      </c>
      <c r="Q82" s="89"/>
    </row>
    <row r="83" customFormat="false" ht="21.75" hidden="false" customHeight="true" outlineLevel="0" collapsed="false">
      <c r="B83" s="83" t="str">
        <f aca="false">IF(D83="","",ROW()-12)</f>
        <v/>
      </c>
      <c r="C83" s="89"/>
      <c r="D83" s="89"/>
      <c r="E83" s="89"/>
      <c r="F83" s="89"/>
      <c r="G83" s="89"/>
      <c r="H83" s="90"/>
      <c r="I83" s="91"/>
      <c r="J83" s="89"/>
      <c r="K83" s="91"/>
      <c r="L83" s="92"/>
      <c r="M83" s="89"/>
      <c r="N83" s="89"/>
      <c r="O83" s="91"/>
      <c r="P83" s="93" t="str">
        <f aca="false">IF(OR(D83="",M83="Fechou",M83="Não agora"),"",IF(O83&lt;&gt;"",O83,IF(K83="","",IF(M83="Proposta entregue",K83+2,IF(M83="Follow-up 48h feito",K83+7,IF(M83="Follow-up 7 dias feito",K83+21,""))))))</f>
        <v/>
      </c>
      <c r="Q83" s="89"/>
    </row>
    <row r="84" customFormat="false" ht="21.75" hidden="false" customHeight="true" outlineLevel="0" collapsed="false">
      <c r="B84" s="83" t="str">
        <f aca="false">IF(D84="","",ROW()-12)</f>
        <v/>
      </c>
      <c r="C84" s="89"/>
      <c r="D84" s="89"/>
      <c r="E84" s="89"/>
      <c r="F84" s="89"/>
      <c r="G84" s="89"/>
      <c r="H84" s="90"/>
      <c r="I84" s="91"/>
      <c r="J84" s="89"/>
      <c r="K84" s="91"/>
      <c r="L84" s="92"/>
      <c r="M84" s="89"/>
      <c r="N84" s="89"/>
      <c r="O84" s="91"/>
      <c r="P84" s="93" t="str">
        <f aca="false">IF(OR(D84="",M84="Fechou",M84="Não agora"),"",IF(O84&lt;&gt;"",O84,IF(K84="","",IF(M84="Proposta entregue",K84+2,IF(M84="Follow-up 48h feito",K84+7,IF(M84="Follow-up 7 dias feito",K84+21,""))))))</f>
        <v/>
      </c>
      <c r="Q84" s="89"/>
    </row>
    <row r="85" customFormat="false" ht="21.75" hidden="false" customHeight="true" outlineLevel="0" collapsed="false">
      <c r="B85" s="83" t="str">
        <f aca="false">IF(D85="","",ROW()-12)</f>
        <v/>
      </c>
      <c r="C85" s="89"/>
      <c r="D85" s="89"/>
      <c r="E85" s="89"/>
      <c r="F85" s="89"/>
      <c r="G85" s="89"/>
      <c r="H85" s="90"/>
      <c r="I85" s="91"/>
      <c r="J85" s="89"/>
      <c r="K85" s="91"/>
      <c r="L85" s="92"/>
      <c r="M85" s="89"/>
      <c r="N85" s="89"/>
      <c r="O85" s="91"/>
      <c r="P85" s="93" t="str">
        <f aca="false">IF(OR(D85="",M85="Fechou",M85="Não agora"),"",IF(O85&lt;&gt;"",O85,IF(K85="","",IF(M85="Proposta entregue",K85+2,IF(M85="Follow-up 48h feito",K85+7,IF(M85="Follow-up 7 dias feito",K85+21,""))))))</f>
        <v/>
      </c>
      <c r="Q85" s="89"/>
    </row>
    <row r="86" customFormat="false" ht="21.75" hidden="false" customHeight="true" outlineLevel="0" collapsed="false">
      <c r="B86" s="83" t="str">
        <f aca="false">IF(D86="","",ROW()-12)</f>
        <v/>
      </c>
      <c r="C86" s="89"/>
      <c r="D86" s="89"/>
      <c r="E86" s="89"/>
      <c r="F86" s="89"/>
      <c r="G86" s="89"/>
      <c r="H86" s="90"/>
      <c r="I86" s="91"/>
      <c r="J86" s="89"/>
      <c r="K86" s="91"/>
      <c r="L86" s="92"/>
      <c r="M86" s="89"/>
      <c r="N86" s="89"/>
      <c r="O86" s="91"/>
      <c r="P86" s="93" t="str">
        <f aca="false">IF(OR(D86="",M86="Fechou",M86="Não agora"),"",IF(O86&lt;&gt;"",O86,IF(K86="","",IF(M86="Proposta entregue",K86+2,IF(M86="Follow-up 48h feito",K86+7,IF(M86="Follow-up 7 dias feito",K86+21,""))))))</f>
        <v/>
      </c>
      <c r="Q86" s="89"/>
    </row>
    <row r="87" customFormat="false" ht="21.75" hidden="false" customHeight="true" outlineLevel="0" collapsed="false">
      <c r="B87" s="83" t="str">
        <f aca="false">IF(D87="","",ROW()-12)</f>
        <v/>
      </c>
      <c r="C87" s="89"/>
      <c r="D87" s="89"/>
      <c r="E87" s="89"/>
      <c r="F87" s="89"/>
      <c r="G87" s="89"/>
      <c r="H87" s="90"/>
      <c r="I87" s="91"/>
      <c r="J87" s="89"/>
      <c r="K87" s="91"/>
      <c r="L87" s="92"/>
      <c r="M87" s="89"/>
      <c r="N87" s="89"/>
      <c r="O87" s="91"/>
      <c r="P87" s="93" t="str">
        <f aca="false">IF(OR(D87="",M87="Fechou",M87="Não agora"),"",IF(O87&lt;&gt;"",O87,IF(K87="","",IF(M87="Proposta entregue",K87+2,IF(M87="Follow-up 48h feito",K87+7,IF(M87="Follow-up 7 dias feito",K87+21,""))))))</f>
        <v/>
      </c>
      <c r="Q87" s="89"/>
    </row>
    <row r="88" customFormat="false" ht="21.75" hidden="false" customHeight="true" outlineLevel="0" collapsed="false">
      <c r="B88" s="83" t="str">
        <f aca="false">IF(D88="","",ROW()-12)</f>
        <v/>
      </c>
      <c r="C88" s="89"/>
      <c r="D88" s="89"/>
      <c r="E88" s="89"/>
      <c r="F88" s="89"/>
      <c r="G88" s="89"/>
      <c r="H88" s="90"/>
      <c r="I88" s="91"/>
      <c r="J88" s="89"/>
      <c r="K88" s="91"/>
      <c r="L88" s="92"/>
      <c r="M88" s="89"/>
      <c r="N88" s="89"/>
      <c r="O88" s="91"/>
      <c r="P88" s="93" t="str">
        <f aca="false">IF(OR(D88="",M88="Fechou",M88="Não agora"),"",IF(O88&lt;&gt;"",O88,IF(K88="","",IF(M88="Proposta entregue",K88+2,IF(M88="Follow-up 48h feito",K88+7,IF(M88="Follow-up 7 dias feito",K88+21,""))))))</f>
        <v/>
      </c>
      <c r="Q88" s="89"/>
    </row>
    <row r="89" customFormat="false" ht="21.75" hidden="false" customHeight="true" outlineLevel="0" collapsed="false">
      <c r="B89" s="83" t="str">
        <f aca="false">IF(D89="","",ROW()-12)</f>
        <v/>
      </c>
      <c r="C89" s="89"/>
      <c r="D89" s="89"/>
      <c r="E89" s="89"/>
      <c r="F89" s="89"/>
      <c r="G89" s="89"/>
      <c r="H89" s="90"/>
      <c r="I89" s="91"/>
      <c r="J89" s="89"/>
      <c r="K89" s="91"/>
      <c r="L89" s="92"/>
      <c r="M89" s="89"/>
      <c r="N89" s="89"/>
      <c r="O89" s="91"/>
      <c r="P89" s="93" t="str">
        <f aca="false">IF(OR(D89="",M89="Fechou",M89="Não agora"),"",IF(O89&lt;&gt;"",O89,IF(K89="","",IF(M89="Proposta entregue",K89+2,IF(M89="Follow-up 48h feito",K89+7,IF(M89="Follow-up 7 dias feito",K89+21,""))))))</f>
        <v/>
      </c>
      <c r="Q89" s="89"/>
    </row>
    <row r="90" customFormat="false" ht="21.75" hidden="false" customHeight="true" outlineLevel="0" collapsed="false">
      <c r="B90" s="83" t="str">
        <f aca="false">IF(D90="","",ROW()-12)</f>
        <v/>
      </c>
      <c r="C90" s="89"/>
      <c r="D90" s="89"/>
      <c r="E90" s="89"/>
      <c r="F90" s="89"/>
      <c r="G90" s="89"/>
      <c r="H90" s="90"/>
      <c r="I90" s="91"/>
      <c r="J90" s="89"/>
      <c r="K90" s="91"/>
      <c r="L90" s="92"/>
      <c r="M90" s="89"/>
      <c r="N90" s="89"/>
      <c r="O90" s="91"/>
      <c r="P90" s="93" t="str">
        <f aca="false">IF(OR(D90="",M90="Fechou",M90="Não agora"),"",IF(O90&lt;&gt;"",O90,IF(K90="","",IF(M90="Proposta entregue",K90+2,IF(M90="Follow-up 48h feito",K90+7,IF(M90="Follow-up 7 dias feito",K90+21,""))))))</f>
        <v/>
      </c>
      <c r="Q90" s="89"/>
    </row>
    <row r="91" customFormat="false" ht="21.75" hidden="false" customHeight="true" outlineLevel="0" collapsed="false">
      <c r="B91" s="83" t="str">
        <f aca="false">IF(D91="","",ROW()-12)</f>
        <v/>
      </c>
      <c r="C91" s="89"/>
      <c r="D91" s="89"/>
      <c r="E91" s="89"/>
      <c r="F91" s="89"/>
      <c r="G91" s="89"/>
      <c r="H91" s="90"/>
      <c r="I91" s="91"/>
      <c r="J91" s="89"/>
      <c r="K91" s="91"/>
      <c r="L91" s="92"/>
      <c r="M91" s="89"/>
      <c r="N91" s="89"/>
      <c r="O91" s="91"/>
      <c r="P91" s="93" t="str">
        <f aca="false">IF(OR(D91="",M91="Fechou",M91="Não agora"),"",IF(O91&lt;&gt;"",O91,IF(K91="","",IF(M91="Proposta entregue",K91+2,IF(M91="Follow-up 48h feito",K91+7,IF(M91="Follow-up 7 dias feito",K91+21,""))))))</f>
        <v/>
      </c>
      <c r="Q91" s="89"/>
    </row>
    <row r="92" customFormat="false" ht="21.75" hidden="false" customHeight="true" outlineLevel="0" collapsed="false">
      <c r="B92" s="83" t="str">
        <f aca="false">IF(D92="","",ROW()-12)</f>
        <v/>
      </c>
      <c r="C92" s="89"/>
      <c r="D92" s="89"/>
      <c r="E92" s="89"/>
      <c r="F92" s="89"/>
      <c r="G92" s="89"/>
      <c r="H92" s="90"/>
      <c r="I92" s="91"/>
      <c r="J92" s="89"/>
      <c r="K92" s="91"/>
      <c r="L92" s="92"/>
      <c r="M92" s="89"/>
      <c r="N92" s="89"/>
      <c r="O92" s="91"/>
      <c r="P92" s="93" t="str">
        <f aca="false">IF(OR(D92="",M92="Fechou",M92="Não agora"),"",IF(O92&lt;&gt;"",O92,IF(K92="","",IF(M92="Proposta entregue",K92+2,IF(M92="Follow-up 48h feito",K92+7,IF(M92="Follow-up 7 dias feito",K92+21,""))))))</f>
        <v/>
      </c>
      <c r="Q92" s="89"/>
    </row>
    <row r="93" customFormat="false" ht="21.75" hidden="false" customHeight="true" outlineLevel="0" collapsed="false">
      <c r="B93" s="83" t="str">
        <f aca="false">IF(D93="","",ROW()-12)</f>
        <v/>
      </c>
      <c r="C93" s="89"/>
      <c r="D93" s="89"/>
      <c r="E93" s="89"/>
      <c r="F93" s="89"/>
      <c r="G93" s="89"/>
      <c r="H93" s="90"/>
      <c r="I93" s="91"/>
      <c r="J93" s="89"/>
      <c r="K93" s="91"/>
      <c r="L93" s="92"/>
      <c r="M93" s="89"/>
      <c r="N93" s="89"/>
      <c r="O93" s="91"/>
      <c r="P93" s="93" t="str">
        <f aca="false">IF(OR(D93="",M93="Fechou",M93="Não agora"),"",IF(O93&lt;&gt;"",O93,IF(K93="","",IF(M93="Proposta entregue",K93+2,IF(M93="Follow-up 48h feito",K93+7,IF(M93="Follow-up 7 dias feito",K93+21,""))))))</f>
        <v/>
      </c>
      <c r="Q93" s="89"/>
    </row>
    <row r="94" customFormat="false" ht="21.75" hidden="false" customHeight="true" outlineLevel="0" collapsed="false">
      <c r="B94" s="83" t="str">
        <f aca="false">IF(D94="","",ROW()-12)</f>
        <v/>
      </c>
      <c r="C94" s="89"/>
      <c r="D94" s="89"/>
      <c r="E94" s="89"/>
      <c r="F94" s="89"/>
      <c r="G94" s="89"/>
      <c r="H94" s="90"/>
      <c r="I94" s="91"/>
      <c r="J94" s="89"/>
      <c r="K94" s="91"/>
      <c r="L94" s="92"/>
      <c r="M94" s="89"/>
      <c r="N94" s="89"/>
      <c r="O94" s="91"/>
      <c r="P94" s="93" t="str">
        <f aca="false">IF(OR(D94="",M94="Fechou",M94="Não agora"),"",IF(O94&lt;&gt;"",O94,IF(K94="","",IF(M94="Proposta entregue",K94+2,IF(M94="Follow-up 48h feito",K94+7,IF(M94="Follow-up 7 dias feito",K94+21,""))))))</f>
        <v/>
      </c>
      <c r="Q94" s="89"/>
    </row>
    <row r="95" customFormat="false" ht="21.75" hidden="false" customHeight="true" outlineLevel="0" collapsed="false">
      <c r="B95" s="83" t="str">
        <f aca="false">IF(D95="","",ROW()-12)</f>
        <v/>
      </c>
      <c r="C95" s="89"/>
      <c r="D95" s="89"/>
      <c r="E95" s="89"/>
      <c r="F95" s="89"/>
      <c r="G95" s="89"/>
      <c r="H95" s="90"/>
      <c r="I95" s="91"/>
      <c r="J95" s="89"/>
      <c r="K95" s="91"/>
      <c r="L95" s="92"/>
      <c r="M95" s="89"/>
      <c r="N95" s="89"/>
      <c r="O95" s="91"/>
      <c r="P95" s="93" t="str">
        <f aca="false">IF(OR(D95="",M95="Fechou",M95="Não agora"),"",IF(O95&lt;&gt;"",O95,IF(K95="","",IF(M95="Proposta entregue",K95+2,IF(M95="Follow-up 48h feito",K95+7,IF(M95="Follow-up 7 dias feito",K95+21,""))))))</f>
        <v/>
      </c>
      <c r="Q95" s="89"/>
    </row>
    <row r="96" customFormat="false" ht="21.75" hidden="false" customHeight="true" outlineLevel="0" collapsed="false">
      <c r="B96" s="83" t="str">
        <f aca="false">IF(D96="","",ROW()-12)</f>
        <v/>
      </c>
      <c r="C96" s="89"/>
      <c r="D96" s="89"/>
      <c r="E96" s="89"/>
      <c r="F96" s="89"/>
      <c r="G96" s="89"/>
      <c r="H96" s="90"/>
      <c r="I96" s="91"/>
      <c r="J96" s="89"/>
      <c r="K96" s="91"/>
      <c r="L96" s="92"/>
      <c r="M96" s="89"/>
      <c r="N96" s="89"/>
      <c r="O96" s="91"/>
      <c r="P96" s="93" t="str">
        <f aca="false">IF(OR(D96="",M96="Fechou",M96="Não agora"),"",IF(O96&lt;&gt;"",O96,IF(K96="","",IF(M96="Proposta entregue",K96+2,IF(M96="Follow-up 48h feito",K96+7,IF(M96="Follow-up 7 dias feito",K96+21,""))))))</f>
        <v/>
      </c>
      <c r="Q96" s="89"/>
    </row>
    <row r="97" customFormat="false" ht="21.75" hidden="false" customHeight="true" outlineLevel="0" collapsed="false">
      <c r="B97" s="83" t="str">
        <f aca="false">IF(D97="","",ROW()-12)</f>
        <v/>
      </c>
      <c r="C97" s="89"/>
      <c r="D97" s="89"/>
      <c r="E97" s="89"/>
      <c r="F97" s="89"/>
      <c r="G97" s="89"/>
      <c r="H97" s="90"/>
      <c r="I97" s="91"/>
      <c r="J97" s="89"/>
      <c r="K97" s="91"/>
      <c r="L97" s="92"/>
      <c r="M97" s="89"/>
      <c r="N97" s="89"/>
      <c r="O97" s="91"/>
      <c r="P97" s="93" t="str">
        <f aca="false">IF(OR(D97="",M97="Fechou",M97="Não agora"),"",IF(O97&lt;&gt;"",O97,IF(K97="","",IF(M97="Proposta entregue",K97+2,IF(M97="Follow-up 48h feito",K97+7,IF(M97="Follow-up 7 dias feito",K97+21,""))))))</f>
        <v/>
      </c>
      <c r="Q97" s="89"/>
    </row>
    <row r="98" customFormat="false" ht="21.75" hidden="false" customHeight="true" outlineLevel="0" collapsed="false">
      <c r="B98" s="83" t="str">
        <f aca="false">IF(D98="","",ROW()-12)</f>
        <v/>
      </c>
      <c r="C98" s="89"/>
      <c r="D98" s="89"/>
      <c r="E98" s="89"/>
      <c r="F98" s="89"/>
      <c r="G98" s="89"/>
      <c r="H98" s="90"/>
      <c r="I98" s="91"/>
      <c r="J98" s="89"/>
      <c r="K98" s="91"/>
      <c r="L98" s="92"/>
      <c r="M98" s="89"/>
      <c r="N98" s="89"/>
      <c r="O98" s="91"/>
      <c r="P98" s="93" t="str">
        <f aca="false">IF(OR(D98="",M98="Fechou",M98="Não agora"),"",IF(O98&lt;&gt;"",O98,IF(K98="","",IF(M98="Proposta entregue",K98+2,IF(M98="Follow-up 48h feito",K98+7,IF(M98="Follow-up 7 dias feito",K98+21,""))))))</f>
        <v/>
      </c>
      <c r="Q98" s="89"/>
    </row>
    <row r="99" customFormat="false" ht="21.75" hidden="false" customHeight="true" outlineLevel="0" collapsed="false">
      <c r="B99" s="83" t="str">
        <f aca="false">IF(D99="","",ROW()-12)</f>
        <v/>
      </c>
      <c r="C99" s="89"/>
      <c r="D99" s="89"/>
      <c r="E99" s="89"/>
      <c r="F99" s="89"/>
      <c r="G99" s="89"/>
      <c r="H99" s="90"/>
      <c r="I99" s="91"/>
      <c r="J99" s="89"/>
      <c r="K99" s="91"/>
      <c r="L99" s="92"/>
      <c r="M99" s="89"/>
      <c r="N99" s="89"/>
      <c r="O99" s="91"/>
      <c r="P99" s="93" t="str">
        <f aca="false">IF(OR(D99="",M99="Fechou",M99="Não agora"),"",IF(O99&lt;&gt;"",O99,IF(K99="","",IF(M99="Proposta entregue",K99+2,IF(M99="Follow-up 48h feito",K99+7,IF(M99="Follow-up 7 dias feito",K99+21,""))))))</f>
        <v/>
      </c>
      <c r="Q99" s="89"/>
    </row>
    <row r="100" customFormat="false" ht="21.75" hidden="false" customHeight="true" outlineLevel="0" collapsed="false">
      <c r="B100" s="83" t="str">
        <f aca="false">IF(D100="","",ROW()-12)</f>
        <v/>
      </c>
      <c r="C100" s="89"/>
      <c r="D100" s="89"/>
      <c r="E100" s="89"/>
      <c r="F100" s="89"/>
      <c r="G100" s="89"/>
      <c r="H100" s="90"/>
      <c r="I100" s="91"/>
      <c r="J100" s="89"/>
      <c r="K100" s="91"/>
      <c r="L100" s="92"/>
      <c r="M100" s="89"/>
      <c r="N100" s="89"/>
      <c r="O100" s="91"/>
      <c r="P100" s="93" t="str">
        <f aca="false">IF(OR(D100="",M100="Fechou",M100="Não agora"),"",IF(O100&lt;&gt;"",O100,IF(K100="","",IF(M100="Proposta entregue",K100+2,IF(M100="Follow-up 48h feito",K100+7,IF(M100="Follow-up 7 dias feito",K100+21,""))))))</f>
        <v/>
      </c>
      <c r="Q100" s="89"/>
    </row>
    <row r="101" customFormat="false" ht="21.75" hidden="false" customHeight="true" outlineLevel="0" collapsed="false">
      <c r="B101" s="83" t="str">
        <f aca="false">IF(D101="","",ROW()-12)</f>
        <v/>
      </c>
      <c r="C101" s="89"/>
      <c r="D101" s="89"/>
      <c r="E101" s="89"/>
      <c r="F101" s="89"/>
      <c r="G101" s="89"/>
      <c r="H101" s="90"/>
      <c r="I101" s="91"/>
      <c r="J101" s="89"/>
      <c r="K101" s="91"/>
      <c r="L101" s="92"/>
      <c r="M101" s="89"/>
      <c r="N101" s="89"/>
      <c r="O101" s="91"/>
      <c r="P101" s="93" t="str">
        <f aca="false">IF(OR(D101="",M101="Fechou",M101="Não agora"),"",IF(O101&lt;&gt;"",O101,IF(K101="","",IF(M101="Proposta entregue",K101+2,IF(M101="Follow-up 48h feito",K101+7,IF(M101="Follow-up 7 dias feito",K101+21,""))))))</f>
        <v/>
      </c>
      <c r="Q101" s="89"/>
    </row>
    <row r="102" customFormat="false" ht="21.75" hidden="false" customHeight="true" outlineLevel="0" collapsed="false">
      <c r="B102" s="83" t="str">
        <f aca="false">IF(D102="","",ROW()-12)</f>
        <v/>
      </c>
      <c r="C102" s="89"/>
      <c r="D102" s="89"/>
      <c r="E102" s="89"/>
      <c r="F102" s="89"/>
      <c r="G102" s="89"/>
      <c r="H102" s="90"/>
      <c r="I102" s="91"/>
      <c r="J102" s="89"/>
      <c r="K102" s="91"/>
      <c r="L102" s="92"/>
      <c r="M102" s="89"/>
      <c r="N102" s="89"/>
      <c r="O102" s="91"/>
      <c r="P102" s="93" t="str">
        <f aca="false">IF(OR(D102="",M102="Fechou",M102="Não agora"),"",IF(O102&lt;&gt;"",O102,IF(K102="","",IF(M102="Proposta entregue",K102+2,IF(M102="Follow-up 48h feito",K102+7,IF(M102="Follow-up 7 dias feito",K102+21,""))))))</f>
        <v/>
      </c>
      <c r="Q102" s="89"/>
    </row>
    <row r="103" customFormat="false" ht="21.75" hidden="false" customHeight="true" outlineLevel="0" collapsed="false">
      <c r="B103" s="83" t="str">
        <f aca="false">IF(D103="","",ROW()-12)</f>
        <v/>
      </c>
      <c r="C103" s="89"/>
      <c r="D103" s="89"/>
      <c r="E103" s="89"/>
      <c r="F103" s="89"/>
      <c r="G103" s="89"/>
      <c r="H103" s="90"/>
      <c r="I103" s="91"/>
      <c r="J103" s="89"/>
      <c r="K103" s="91"/>
      <c r="L103" s="92"/>
      <c r="M103" s="89"/>
      <c r="N103" s="89"/>
      <c r="O103" s="91"/>
      <c r="P103" s="93" t="str">
        <f aca="false">IF(OR(D103="",M103="Fechou",M103="Não agora"),"",IF(O103&lt;&gt;"",O103,IF(K103="","",IF(M103="Proposta entregue",K103+2,IF(M103="Follow-up 48h feito",K103+7,IF(M103="Follow-up 7 dias feito",K103+21,""))))))</f>
        <v/>
      </c>
      <c r="Q103" s="89"/>
    </row>
    <row r="104" customFormat="false" ht="21.75" hidden="false" customHeight="true" outlineLevel="0" collapsed="false">
      <c r="B104" s="83" t="str">
        <f aca="false">IF(D104="","",ROW()-12)</f>
        <v/>
      </c>
      <c r="C104" s="89"/>
      <c r="D104" s="89"/>
      <c r="E104" s="89"/>
      <c r="F104" s="89"/>
      <c r="G104" s="89"/>
      <c r="H104" s="90"/>
      <c r="I104" s="91"/>
      <c r="J104" s="89"/>
      <c r="K104" s="91"/>
      <c r="L104" s="92"/>
      <c r="M104" s="89"/>
      <c r="N104" s="89"/>
      <c r="O104" s="91"/>
      <c r="P104" s="93" t="str">
        <f aca="false">IF(OR(D104="",M104="Fechou",M104="Não agora"),"",IF(O104&lt;&gt;"",O104,IF(K104="","",IF(M104="Proposta entregue",K104+2,IF(M104="Follow-up 48h feito",K104+7,IF(M104="Follow-up 7 dias feito",K104+21,""))))))</f>
        <v/>
      </c>
      <c r="Q104" s="89"/>
    </row>
    <row r="105" customFormat="false" ht="21.75" hidden="false" customHeight="true" outlineLevel="0" collapsed="false">
      <c r="B105" s="83" t="str">
        <f aca="false">IF(D105="","",ROW()-12)</f>
        <v/>
      </c>
      <c r="C105" s="89"/>
      <c r="D105" s="89"/>
      <c r="E105" s="89"/>
      <c r="F105" s="89"/>
      <c r="G105" s="89"/>
      <c r="H105" s="90"/>
      <c r="I105" s="91"/>
      <c r="J105" s="89"/>
      <c r="K105" s="91"/>
      <c r="L105" s="92"/>
      <c r="M105" s="89"/>
      <c r="N105" s="89"/>
      <c r="O105" s="91"/>
      <c r="P105" s="93" t="str">
        <f aca="false">IF(OR(D105="",M105="Fechou",M105="Não agora"),"",IF(O105&lt;&gt;"",O105,IF(K105="","",IF(M105="Proposta entregue",K105+2,IF(M105="Follow-up 48h feito",K105+7,IF(M105="Follow-up 7 dias feito",K105+21,""))))))</f>
        <v/>
      </c>
      <c r="Q105" s="89"/>
    </row>
    <row r="106" customFormat="false" ht="21.75" hidden="false" customHeight="true" outlineLevel="0" collapsed="false">
      <c r="B106" s="83" t="str">
        <f aca="false">IF(D106="","",ROW()-12)</f>
        <v/>
      </c>
      <c r="C106" s="89"/>
      <c r="D106" s="89"/>
      <c r="E106" s="89"/>
      <c r="F106" s="89"/>
      <c r="G106" s="89"/>
      <c r="H106" s="90"/>
      <c r="I106" s="91"/>
      <c r="J106" s="89"/>
      <c r="K106" s="91"/>
      <c r="L106" s="92"/>
      <c r="M106" s="89"/>
      <c r="N106" s="89"/>
      <c r="O106" s="91"/>
      <c r="P106" s="93" t="str">
        <f aca="false">IF(OR(D106="",M106="Fechou",M106="Não agora"),"",IF(O106&lt;&gt;"",O106,IF(K106="","",IF(M106="Proposta entregue",K106+2,IF(M106="Follow-up 48h feito",K106+7,IF(M106="Follow-up 7 dias feito",K106+21,""))))))</f>
        <v/>
      </c>
      <c r="Q106" s="89"/>
    </row>
    <row r="107" customFormat="false" ht="21.75" hidden="false" customHeight="true" outlineLevel="0" collapsed="false">
      <c r="B107" s="83" t="str">
        <f aca="false">IF(D107="","",ROW()-12)</f>
        <v/>
      </c>
      <c r="C107" s="89"/>
      <c r="D107" s="89"/>
      <c r="E107" s="89"/>
      <c r="F107" s="89"/>
      <c r="G107" s="89"/>
      <c r="H107" s="90"/>
      <c r="I107" s="91"/>
      <c r="J107" s="89"/>
      <c r="K107" s="91"/>
      <c r="L107" s="92"/>
      <c r="M107" s="89"/>
      <c r="N107" s="89"/>
      <c r="O107" s="91"/>
      <c r="P107" s="93" t="str">
        <f aca="false">IF(OR(D107="",M107="Fechou",M107="Não agora"),"",IF(O107&lt;&gt;"",O107,IF(K107="","",IF(M107="Proposta entregue",K107+2,IF(M107="Follow-up 48h feito",K107+7,IF(M107="Follow-up 7 dias feito",K107+21,""))))))</f>
        <v/>
      </c>
      <c r="Q107" s="89"/>
    </row>
    <row r="108" customFormat="false" ht="21.75" hidden="false" customHeight="true" outlineLevel="0" collapsed="false">
      <c r="B108" s="83" t="str">
        <f aca="false">IF(D108="","",ROW()-12)</f>
        <v/>
      </c>
      <c r="C108" s="89"/>
      <c r="D108" s="89"/>
      <c r="E108" s="89"/>
      <c r="F108" s="89"/>
      <c r="G108" s="89"/>
      <c r="H108" s="90"/>
      <c r="I108" s="91"/>
      <c r="J108" s="89"/>
      <c r="K108" s="91"/>
      <c r="L108" s="92"/>
      <c r="M108" s="89"/>
      <c r="N108" s="89"/>
      <c r="O108" s="91"/>
      <c r="P108" s="93" t="str">
        <f aca="false">IF(OR(D108="",M108="Fechou",M108="Não agora"),"",IF(O108&lt;&gt;"",O108,IF(K108="","",IF(M108="Proposta entregue",K108+2,IF(M108="Follow-up 48h feito",K108+7,IF(M108="Follow-up 7 dias feito",K108+21,""))))))</f>
        <v/>
      </c>
      <c r="Q108" s="89"/>
    </row>
    <row r="109" customFormat="false" ht="21.75" hidden="false" customHeight="true" outlineLevel="0" collapsed="false">
      <c r="B109" s="83" t="str">
        <f aca="false">IF(D109="","",ROW()-12)</f>
        <v/>
      </c>
      <c r="C109" s="89"/>
      <c r="D109" s="89"/>
      <c r="E109" s="89"/>
      <c r="F109" s="89"/>
      <c r="G109" s="89"/>
      <c r="H109" s="90"/>
      <c r="I109" s="91"/>
      <c r="J109" s="89"/>
      <c r="K109" s="91"/>
      <c r="L109" s="92"/>
      <c r="M109" s="89"/>
      <c r="N109" s="89"/>
      <c r="O109" s="91"/>
      <c r="P109" s="93" t="str">
        <f aca="false">IF(OR(D109="",M109="Fechou",M109="Não agora"),"",IF(O109&lt;&gt;"",O109,IF(K109="","",IF(M109="Proposta entregue",K109+2,IF(M109="Follow-up 48h feito",K109+7,IF(M109="Follow-up 7 dias feito",K109+21,""))))))</f>
        <v/>
      </c>
      <c r="Q109" s="89"/>
    </row>
    <row r="110" customFormat="false" ht="21.75" hidden="false" customHeight="true" outlineLevel="0" collapsed="false">
      <c r="B110" s="83" t="str">
        <f aca="false">IF(D110="","",ROW()-12)</f>
        <v/>
      </c>
      <c r="C110" s="89"/>
      <c r="D110" s="89"/>
      <c r="E110" s="89"/>
      <c r="F110" s="89"/>
      <c r="G110" s="89"/>
      <c r="H110" s="90"/>
      <c r="I110" s="91"/>
      <c r="J110" s="89"/>
      <c r="K110" s="91"/>
      <c r="L110" s="92"/>
      <c r="M110" s="89"/>
      <c r="N110" s="89"/>
      <c r="O110" s="91"/>
      <c r="P110" s="93" t="str">
        <f aca="false">IF(OR(D110="",M110="Fechou",M110="Não agora"),"",IF(O110&lt;&gt;"",O110,IF(K110="","",IF(M110="Proposta entregue",K110+2,IF(M110="Follow-up 48h feito",K110+7,IF(M110="Follow-up 7 dias feito",K110+21,""))))))</f>
        <v/>
      </c>
      <c r="Q110" s="89"/>
    </row>
    <row r="111" customFormat="false" ht="21.75" hidden="false" customHeight="true" outlineLevel="0" collapsed="false">
      <c r="B111" s="83" t="str">
        <f aca="false">IF(D111="","",ROW()-12)</f>
        <v/>
      </c>
      <c r="C111" s="89"/>
      <c r="D111" s="89"/>
      <c r="E111" s="89"/>
      <c r="F111" s="89"/>
      <c r="G111" s="89"/>
      <c r="H111" s="90"/>
      <c r="I111" s="91"/>
      <c r="J111" s="89"/>
      <c r="K111" s="91"/>
      <c r="L111" s="92"/>
      <c r="M111" s="89"/>
      <c r="N111" s="89"/>
      <c r="O111" s="91"/>
      <c r="P111" s="93" t="str">
        <f aca="false">IF(OR(D111="",M111="Fechou",M111="Não agora"),"",IF(O111&lt;&gt;"",O111,IF(K111="","",IF(M111="Proposta entregue",K111+2,IF(M111="Follow-up 48h feito",K111+7,IF(M111="Follow-up 7 dias feito",K111+21,""))))))</f>
        <v/>
      </c>
      <c r="Q111" s="89"/>
    </row>
    <row r="112" customFormat="false" ht="21.75" hidden="false" customHeight="true" outlineLevel="0" collapsed="false">
      <c r="B112" s="83" t="str">
        <f aca="false">IF(D112="","",ROW()-12)</f>
        <v/>
      </c>
      <c r="C112" s="89"/>
      <c r="D112" s="89"/>
      <c r="E112" s="89"/>
      <c r="F112" s="89"/>
      <c r="G112" s="89"/>
      <c r="H112" s="90"/>
      <c r="I112" s="91"/>
      <c r="J112" s="89"/>
      <c r="K112" s="91"/>
      <c r="L112" s="92"/>
      <c r="M112" s="89"/>
      <c r="N112" s="89"/>
      <c r="O112" s="91"/>
      <c r="P112" s="93" t="str">
        <f aca="false">IF(OR(D112="",M112="Fechou",M112="Não agora"),"",IF(O112&lt;&gt;"",O112,IF(K112="","",IF(M112="Proposta entregue",K112+2,IF(M112="Follow-up 48h feito",K112+7,IF(M112="Follow-up 7 dias feito",K112+21,""))))))</f>
        <v/>
      </c>
      <c r="Q112" s="89"/>
    </row>
  </sheetData>
  <mergeCells count="18">
    <mergeCell ref="B8:C8"/>
    <mergeCell ref="D8:F8"/>
    <mergeCell ref="G8:H8"/>
    <mergeCell ref="I8:K8"/>
    <mergeCell ref="L8:N8"/>
    <mergeCell ref="O8:Q8"/>
    <mergeCell ref="B9:C9"/>
    <mergeCell ref="D9:F9"/>
    <mergeCell ref="G9:H9"/>
    <mergeCell ref="I9:K9"/>
    <mergeCell ref="L9:N9"/>
    <mergeCell ref="O9:Q9"/>
    <mergeCell ref="B10:C10"/>
    <mergeCell ref="D10:F10"/>
    <mergeCell ref="G10:H10"/>
    <mergeCell ref="I10:K10"/>
    <mergeCell ref="L10:N10"/>
    <mergeCell ref="O10:Q10"/>
  </mergeCells>
  <conditionalFormatting sqref="P13:P112">
    <cfRule type="expression" priority="2" aboveAverage="0" equalAverage="0" bottom="0" percent="0" rank="0" text="" dxfId="0">
      <formula>AND(P13&lt;&gt;"",P13&lt;=TODAY())</formula>
    </cfRule>
  </conditionalFormatting>
  <conditionalFormatting sqref="B13:Q112">
    <cfRule type="expression" priority="3" aboveAverage="0" equalAverage="0" bottom="0" percent="0" rank="0" text="" dxfId="7">
      <formula>$M13="Fechou"</formula>
    </cfRule>
    <cfRule type="expression" priority="4" aboveAverage="0" equalAverage="0" bottom="0" percent="0" rank="0" text="" dxfId="8">
      <formula>$M13="Não agora"</formula>
    </cfRule>
  </conditionalFormatting>
  <dataValidations count="3">
    <dataValidation allowBlank="true" errorStyle="stop" operator="between" showDropDown="false" showErrorMessage="false" showInputMessage="false" sqref="C14:C112" type="list">
      <formula1>Biblioteca!$C$8:$C$17</formula1>
      <formula2>0</formula2>
    </dataValidation>
    <dataValidation allowBlank="true" errorStyle="stop" operator="between" showDropDown="false" showErrorMessage="false" showInputMessage="false" sqref="M13:M112" type="list">
      <formula1>"A visitar,Visitado,Amostra deixada,Proposta entregue,Follow-up 48h feito,Follow-up 7 dias feito,Fechou,Não agora"</formula1>
      <formula2>0</formula2>
    </dataValidation>
    <dataValidation allowBlank="true" errorStyle="stop" operator="between" showDropDown="false" showErrorMessage="false" showInputMessage="false" sqref="J13:J112" type="list">
      <formula1>"Sim,Não"</formula1>
      <formula2>0</formula2>
    </dataValidation>
  </dataValidations>
  <hyperlinks>
    <hyperlink ref="Q6" location="'Painel'!A1" display="Ir para o Painel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tru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1" min="9" style="0" width="10"/>
    <col collapsed="false" customWidth="true" hidden="false" outlineLevel="0" max="12" min="12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0" hidden="false" customHeight="true" outlineLevel="0" collapsed="false">
      <c r="A3" s="1"/>
      <c r="B3" s="3" t="s">
        <v>40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9.5" hidden="false" customHeight="true" outlineLevel="0" collapsed="false">
      <c r="A4" s="1"/>
      <c r="B4" s="4" t="s">
        <v>204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8" hidden="false" customHeight="true" outlineLevel="0" collapsed="false">
      <c r="K6" s="18" t="s">
        <v>49</v>
      </c>
    </row>
    <row r="7" customFormat="false" ht="21.75" hidden="false" customHeight="true" outlineLevel="0" collapsed="false">
      <c r="B7" s="10" t="s">
        <v>205</v>
      </c>
      <c r="C7" s="1"/>
      <c r="D7" s="1"/>
      <c r="E7" s="1"/>
      <c r="F7" s="1"/>
      <c r="G7" s="1"/>
      <c r="H7" s="1"/>
      <c r="I7" s="1"/>
      <c r="J7" s="1"/>
      <c r="K7" s="1"/>
    </row>
    <row r="8" customFormat="false" ht="21.75" hidden="false" customHeight="true" outlineLevel="0" collapsed="false">
      <c r="B8" s="94" t="s">
        <v>206</v>
      </c>
      <c r="C8" s="94"/>
      <c r="D8" s="94"/>
      <c r="E8" s="95" t="n">
        <v>120</v>
      </c>
      <c r="F8" s="31" t="s">
        <v>207</v>
      </c>
      <c r="G8" s="31"/>
      <c r="H8" s="31"/>
      <c r="I8" s="31"/>
      <c r="J8" s="31"/>
      <c r="K8" s="31"/>
    </row>
    <row r="9" customFormat="false" ht="21.75" hidden="false" customHeight="true" outlineLevel="0" collapsed="false">
      <c r="B9" s="94" t="s">
        <v>208</v>
      </c>
      <c r="C9" s="94"/>
      <c r="D9" s="94"/>
      <c r="E9" s="96" t="n">
        <v>0.15</v>
      </c>
      <c r="F9" s="31" t="s">
        <v>209</v>
      </c>
      <c r="G9" s="31"/>
      <c r="H9" s="31"/>
      <c r="I9" s="31"/>
      <c r="J9" s="31"/>
      <c r="K9" s="31"/>
    </row>
    <row r="10" customFormat="false" ht="21.75" hidden="false" customHeight="true" outlineLevel="0" collapsed="false">
      <c r="B10" s="94" t="s">
        <v>210</v>
      </c>
      <c r="C10" s="94"/>
      <c r="D10" s="94"/>
      <c r="E10" s="97" t="n">
        <v>150</v>
      </c>
      <c r="F10" s="31" t="s">
        <v>211</v>
      </c>
      <c r="G10" s="31"/>
      <c r="H10" s="31"/>
      <c r="I10" s="31"/>
      <c r="J10" s="31"/>
      <c r="K10" s="31"/>
    </row>
    <row r="11" customFormat="false" ht="21.75" hidden="false" customHeight="true" outlineLevel="0" collapsed="false">
      <c r="B11" s="94" t="s">
        <v>212</v>
      </c>
      <c r="C11" s="94"/>
      <c r="D11" s="94"/>
      <c r="E11" s="95" t="n">
        <v>0.95</v>
      </c>
      <c r="F11" s="31" t="s">
        <v>213</v>
      </c>
      <c r="G11" s="31"/>
      <c r="H11" s="31"/>
      <c r="I11" s="31"/>
      <c r="J11" s="31"/>
      <c r="K11" s="31"/>
    </row>
    <row r="12" customFormat="false" ht="21.75" hidden="false" customHeight="true" outlineLevel="0" collapsed="false">
      <c r="B12" s="94" t="s">
        <v>214</v>
      </c>
      <c r="C12" s="94"/>
      <c r="D12" s="94"/>
      <c r="E12" s="95" t="n">
        <v>15</v>
      </c>
      <c r="F12" s="31" t="s">
        <v>215</v>
      </c>
      <c r="G12" s="31"/>
      <c r="H12" s="31"/>
      <c r="I12" s="31"/>
      <c r="J12" s="31"/>
      <c r="K12" s="31"/>
    </row>
    <row r="13" customFormat="false" ht="21.75" hidden="false" customHeight="true" outlineLevel="0" collapsed="false">
      <c r="B13" s="94" t="s">
        <v>216</v>
      </c>
      <c r="C13" s="94"/>
      <c r="D13" s="94"/>
      <c r="E13" s="95" t="n">
        <v>40</v>
      </c>
      <c r="F13" s="31" t="s">
        <v>217</v>
      </c>
      <c r="G13" s="31"/>
      <c r="H13" s="31"/>
      <c r="I13" s="31"/>
      <c r="J13" s="31"/>
      <c r="K13" s="31"/>
    </row>
    <row r="15" customFormat="false" ht="21.75" hidden="false" customHeight="true" outlineLevel="0" collapsed="false">
      <c r="B15" s="10" t="s">
        <v>218</v>
      </c>
      <c r="C15" s="1"/>
      <c r="D15" s="1"/>
      <c r="E15" s="1"/>
      <c r="F15" s="1"/>
      <c r="G15" s="1"/>
      <c r="H15" s="1"/>
      <c r="I15" s="1"/>
      <c r="J15" s="1"/>
      <c r="K15" s="1"/>
    </row>
    <row r="16" customFormat="false" ht="21.75" hidden="false" customHeight="true" outlineLevel="0" collapsed="false">
      <c r="B16" s="94" t="s">
        <v>219</v>
      </c>
      <c r="C16" s="94"/>
      <c r="D16" s="94"/>
      <c r="E16" s="89" t="s">
        <v>220</v>
      </c>
      <c r="F16" s="98" t="s">
        <v>221</v>
      </c>
      <c r="G16" s="98"/>
      <c r="H16" s="99" t="n">
        <f aca="false">E17/1000*Calculadora!$E$8*(1+Calculadora!$E$9)</f>
        <v>16.56</v>
      </c>
    </row>
    <row r="17" customFormat="false" ht="21.75" hidden="false" customHeight="true" outlineLevel="0" collapsed="false">
      <c r="B17" s="94" t="s">
        <v>222</v>
      </c>
      <c r="C17" s="94"/>
      <c r="D17" s="94"/>
      <c r="E17" s="100" t="n">
        <v>120</v>
      </c>
      <c r="F17" s="98" t="s">
        <v>223</v>
      </c>
      <c r="G17" s="98"/>
      <c r="H17" s="99" t="n">
        <f aca="false">E18*Calculadora!$E$10/1000*Calculadora!$E$11</f>
        <v>0.49875</v>
      </c>
    </row>
    <row r="18" customFormat="false" ht="21.75" hidden="false" customHeight="true" outlineLevel="0" collapsed="false">
      <c r="B18" s="94" t="s">
        <v>224</v>
      </c>
      <c r="C18" s="94"/>
      <c r="D18" s="94"/>
      <c r="E18" s="101" t="n">
        <v>3.5</v>
      </c>
      <c r="F18" s="102" t="s">
        <v>225</v>
      </c>
      <c r="G18" s="102"/>
      <c r="H18" s="103" t="n">
        <f aca="false">H16+H17+E19</f>
        <v>25.05875</v>
      </c>
    </row>
    <row r="19" customFormat="false" ht="21.75" hidden="false" customHeight="true" outlineLevel="0" collapsed="false">
      <c r="B19" s="94" t="s">
        <v>226</v>
      </c>
      <c r="C19" s="94"/>
      <c r="D19" s="94"/>
      <c r="E19" s="104" t="n">
        <v>8</v>
      </c>
      <c r="F19" s="98" t="s">
        <v>227</v>
      </c>
      <c r="G19" s="98"/>
      <c r="H19" s="99" t="n">
        <f aca="false">H18+E18*Calculadora!$E$12</f>
        <v>77.55875</v>
      </c>
    </row>
    <row r="20" customFormat="false" ht="21.75" hidden="false" customHeight="true" outlineLevel="0" collapsed="false">
      <c r="B20" s="94" t="s">
        <v>228</v>
      </c>
      <c r="C20" s="94"/>
      <c r="D20" s="94"/>
      <c r="E20" s="105" t="n">
        <v>10</v>
      </c>
      <c r="F20" s="98" t="s">
        <v>229</v>
      </c>
      <c r="G20" s="98"/>
      <c r="H20" s="99" t="n">
        <f aca="false">H18+E18*Calculadora!$E$13</f>
        <v>165.05875</v>
      </c>
    </row>
    <row r="21" customFormat="false" ht="21.75" hidden="false" customHeight="true" outlineLevel="0" collapsed="false">
      <c r="B21" s="94" t="s">
        <v>230</v>
      </c>
      <c r="C21" s="94"/>
      <c r="D21" s="94"/>
      <c r="E21" s="104" t="n">
        <v>200</v>
      </c>
      <c r="F21" s="98" t="s">
        <v>231</v>
      </c>
      <c r="G21" s="98"/>
      <c r="H21" s="99" t="n">
        <f aca="false">E21-H18</f>
        <v>174.94125</v>
      </c>
    </row>
    <row r="22" customFormat="false" ht="21.75" hidden="false" customHeight="true" outlineLevel="0" collapsed="false">
      <c r="F22" s="102" t="s">
        <v>232</v>
      </c>
      <c r="G22" s="102"/>
      <c r="H22" s="103" t="n">
        <f aca="false">IF(E18=0,"",H21/E18)</f>
        <v>49.9832142857143</v>
      </c>
    </row>
    <row r="23" customFormat="false" ht="21.75" hidden="false" customHeight="true" outlineLevel="0" collapsed="false">
      <c r="F23" s="98" t="s">
        <v>233</v>
      </c>
      <c r="G23" s="98"/>
      <c r="H23" s="99" t="n">
        <f aca="false">IF(E20=0,"",E21/E20)</f>
        <v>20</v>
      </c>
    </row>
    <row r="25" customFormat="false" ht="15" hidden="false" customHeight="false" outlineLevel="0" collapsed="false">
      <c r="B25" s="106" t="str">
        <f aca="false">IF(E21="","",IF(H22&lt;Calculadora!$E$12,"ABAIXO DO PISO. Não feche por esse preço: suba o preço ou mude a peça.",IF(H22&lt;Calculadora!$E$13,"Acima do piso e abaixo da sua meta. Dá para fechar, mas veja se cabe subir o preço.","Na meta. Pode fechar.")))</f>
        <v>Na meta. Pode fechar.</v>
      </c>
      <c r="C25" s="106"/>
      <c r="D25" s="106"/>
      <c r="E25" s="106"/>
      <c r="F25" s="106"/>
      <c r="G25" s="106"/>
      <c r="H25" s="106"/>
      <c r="I25" s="106"/>
      <c r="J25" s="106"/>
      <c r="K25" s="106"/>
    </row>
    <row r="26" customFormat="false" ht="15" hidden="false" customHeight="false" outlineLevel="0" collapsed="false">
      <c r="B26" s="106"/>
      <c r="C26" s="106"/>
      <c r="D26" s="106"/>
      <c r="E26" s="106"/>
      <c r="F26" s="106"/>
      <c r="G26" s="106"/>
      <c r="H26" s="106"/>
      <c r="I26" s="106"/>
      <c r="J26" s="106"/>
      <c r="K26" s="106"/>
    </row>
    <row r="28" customFormat="false" ht="15" hidden="false" customHeight="true" outlineLevel="0" collapsed="false">
      <c r="B28" s="31" t="s">
        <v>234</v>
      </c>
      <c r="C28" s="31"/>
      <c r="D28" s="31"/>
      <c r="E28" s="31"/>
      <c r="F28" s="31"/>
      <c r="G28" s="31"/>
      <c r="H28" s="31"/>
      <c r="I28" s="31"/>
      <c r="J28" s="31"/>
      <c r="K28" s="31"/>
    </row>
    <row r="29" customFormat="false" ht="15" hidden="false" customHeight="false" outlineLevel="0" collapsed="false">
      <c r="B29" s="31"/>
      <c r="C29" s="31"/>
      <c r="D29" s="31"/>
      <c r="E29" s="31"/>
      <c r="F29" s="31"/>
      <c r="G29" s="31"/>
      <c r="H29" s="31"/>
      <c r="I29" s="31"/>
      <c r="J29" s="31"/>
      <c r="K29" s="31"/>
    </row>
  </sheetData>
  <mergeCells count="28">
    <mergeCell ref="B8:D8"/>
    <mergeCell ref="F8:K8"/>
    <mergeCell ref="B9:D9"/>
    <mergeCell ref="F9:K9"/>
    <mergeCell ref="B10:D10"/>
    <mergeCell ref="F10:K10"/>
    <mergeCell ref="B11:D11"/>
    <mergeCell ref="F11:K11"/>
    <mergeCell ref="B12:D12"/>
    <mergeCell ref="F12:K12"/>
    <mergeCell ref="B13:D13"/>
    <mergeCell ref="F13:K13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0"/>
    <mergeCell ref="B21:D21"/>
    <mergeCell ref="F21:G21"/>
    <mergeCell ref="F22:G22"/>
    <mergeCell ref="F23:G23"/>
    <mergeCell ref="B25:K26"/>
    <mergeCell ref="B28:K29"/>
  </mergeCells>
  <conditionalFormatting sqref="B25">
    <cfRule type="expression" priority="2" aboveAverage="0" equalAverage="0" bottom="0" percent="0" rank="0" text="" dxfId="9">
      <formula>$H$22&lt;Calculadora!$E$12</formula>
    </cfRule>
    <cfRule type="expression" priority="3" aboveAverage="0" equalAverage="0" bottom="0" percent="0" rank="0" text="" dxfId="10">
      <formula>$H$22&gt;=Calculadora!$E$13</formula>
    </cfRule>
  </conditionalFormatting>
  <hyperlinks>
    <hyperlink ref="K6" location="'Painel'!A1" display="Ir para o Painel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true"/>
  </sheetPr>
  <dimension ref="A1:Q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2" min="11" style="0" width="12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30" hidden="false" customHeight="true" outlineLevel="0" collapsed="false">
      <c r="A3" s="1"/>
      <c r="B3" s="3" t="s">
        <v>42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19.5" hidden="false" customHeight="true" outlineLevel="0" collapsed="false">
      <c r="A4" s="1"/>
      <c r="B4" s="4" t="s">
        <v>235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18" hidden="false" customHeight="true" outlineLevel="0" collapsed="false">
      <c r="P6" s="18" t="s">
        <v>49</v>
      </c>
    </row>
    <row r="7" customFormat="false" ht="15" hidden="false" customHeight="false" outlineLevel="0" collapsed="false">
      <c r="B7" s="82" t="s">
        <v>236</v>
      </c>
    </row>
    <row r="8" customFormat="false" ht="31.5" hidden="false" customHeight="true" outlineLevel="0" collapsed="false">
      <c r="B8" s="58" t="s">
        <v>237</v>
      </c>
      <c r="C8" s="58" t="s">
        <v>180</v>
      </c>
      <c r="D8" s="58" t="s">
        <v>238</v>
      </c>
      <c r="E8" s="58" t="s">
        <v>239</v>
      </c>
      <c r="F8" s="58" t="s">
        <v>240</v>
      </c>
      <c r="G8" s="58" t="s">
        <v>241</v>
      </c>
      <c r="H8" s="58" t="s">
        <v>242</v>
      </c>
      <c r="I8" s="58" t="s">
        <v>243</v>
      </c>
      <c r="J8" s="58" t="s">
        <v>244</v>
      </c>
      <c r="K8" s="58" t="s">
        <v>225</v>
      </c>
      <c r="L8" s="58" t="s">
        <v>245</v>
      </c>
      <c r="M8" s="58" t="s">
        <v>231</v>
      </c>
      <c r="N8" s="58" t="s">
        <v>110</v>
      </c>
      <c r="O8" s="58" t="s">
        <v>137</v>
      </c>
      <c r="P8" s="58" t="s">
        <v>246</v>
      </c>
    </row>
    <row r="9" customFormat="false" ht="21.75" hidden="false" customHeight="true" outlineLevel="0" collapsed="false">
      <c r="B9" s="86" t="n">
        <v>46309</v>
      </c>
      <c r="C9" s="84" t="s">
        <v>195</v>
      </c>
      <c r="D9" s="84" t="s">
        <v>196</v>
      </c>
      <c r="E9" s="84" t="s">
        <v>247</v>
      </c>
      <c r="F9" s="107" t="n">
        <v>3</v>
      </c>
      <c r="G9" s="108" t="n">
        <v>180</v>
      </c>
      <c r="H9" s="107" t="n">
        <v>90</v>
      </c>
      <c r="I9" s="85" t="n">
        <v>2.5</v>
      </c>
      <c r="J9" s="108" t="n">
        <v>6</v>
      </c>
      <c r="K9" s="109" t="n">
        <f aca="false">IF(G9="","",H9/1000*Calculadora!$E$8*(1+Calculadora!$E$9)+I9*Calculadora!$E$10/1000*Calculadora!$E$11+J9)</f>
        <v>18.77625</v>
      </c>
      <c r="L9" s="110" t="n">
        <f aca="false">IF(G9="","",G9-K9)</f>
        <v>161.22375</v>
      </c>
      <c r="M9" s="111" t="n">
        <f aca="false">IF(OR(G9="",G9=0),"",L9/G9)</f>
        <v>0.8956875</v>
      </c>
      <c r="N9" s="110" t="n">
        <f aca="false">IF(OR(G9="",I9="",I9=0),"",L9/I9)</f>
        <v>64.4895</v>
      </c>
      <c r="O9" s="112" t="str">
        <f aca="false">IF(N9="","",IF(N9&lt;Calculadora!$E$12,"Abaixo do piso",IF(N9&lt;Calculadora!$E$13,"Acima do piso","Na meta")))</f>
        <v>Na meta</v>
      </c>
      <c r="P9" s="84" t="s">
        <v>200</v>
      </c>
    </row>
    <row r="10" customFormat="false" ht="21.75" hidden="false" customHeight="true" outlineLevel="0" collapsed="false">
      <c r="B10" s="91"/>
      <c r="C10" s="89"/>
      <c r="D10" s="89"/>
      <c r="E10" s="89"/>
      <c r="F10" s="105"/>
      <c r="G10" s="104"/>
      <c r="H10" s="105"/>
      <c r="I10" s="90"/>
      <c r="J10" s="104"/>
      <c r="K10" s="113" t="str">
        <f aca="false">IF(G10="","",H10/1000*Calculadora!$E$8*(1+Calculadora!$E$9)+I10*Calculadora!$E$10/1000*Calculadora!$E$11+J10)</f>
        <v/>
      </c>
      <c r="L10" s="114" t="str">
        <f aca="false">IF(G10="","",G10-K10)</f>
        <v/>
      </c>
      <c r="M10" s="115" t="str">
        <f aca="false">IF(OR(G10="",G10=0),"",L10/G10)</f>
        <v/>
      </c>
      <c r="N10" s="114" t="str">
        <f aca="false">IF(OR(G10="",I10="",I10=0),"",L10/I10)</f>
        <v/>
      </c>
      <c r="O10" s="61" t="str">
        <f aca="false">IF(N10="","",IF(N10&lt;Calculadora!$E$12,"Abaixo do piso",IF(N10&lt;Calculadora!$E$13,"Acima do piso","Na meta")))</f>
        <v/>
      </c>
      <c r="P10" s="89"/>
    </row>
    <row r="11" customFormat="false" ht="21.75" hidden="false" customHeight="true" outlineLevel="0" collapsed="false">
      <c r="B11" s="91"/>
      <c r="C11" s="89"/>
      <c r="D11" s="89"/>
      <c r="E11" s="89"/>
      <c r="F11" s="105"/>
      <c r="G11" s="104"/>
      <c r="H11" s="105"/>
      <c r="I11" s="90"/>
      <c r="J11" s="104"/>
      <c r="K11" s="113" t="str">
        <f aca="false">IF(G11="","",H11/1000*Calculadora!$E$8*(1+Calculadora!$E$9)+I11*Calculadora!$E$10/1000*Calculadora!$E$11+J11)</f>
        <v/>
      </c>
      <c r="L11" s="114" t="str">
        <f aca="false">IF(G11="","",G11-K11)</f>
        <v/>
      </c>
      <c r="M11" s="115" t="str">
        <f aca="false">IF(OR(G11="",G11=0),"",L11/G11)</f>
        <v/>
      </c>
      <c r="N11" s="114" t="str">
        <f aca="false">IF(OR(G11="",I11="",I11=0),"",L11/I11)</f>
        <v/>
      </c>
      <c r="O11" s="61" t="str">
        <f aca="false">IF(N11="","",IF(N11&lt;Calculadora!$E$12,"Abaixo do piso",IF(N11&lt;Calculadora!$E$13,"Acima do piso","Na meta")))</f>
        <v/>
      </c>
      <c r="P11" s="89"/>
    </row>
    <row r="12" customFormat="false" ht="21.75" hidden="false" customHeight="true" outlineLevel="0" collapsed="false">
      <c r="B12" s="91"/>
      <c r="C12" s="89"/>
      <c r="D12" s="89"/>
      <c r="E12" s="89"/>
      <c r="F12" s="105"/>
      <c r="G12" s="104"/>
      <c r="H12" s="105"/>
      <c r="I12" s="90"/>
      <c r="J12" s="104"/>
      <c r="K12" s="113" t="str">
        <f aca="false">IF(G12="","",H12/1000*Calculadora!$E$8*(1+Calculadora!$E$9)+I12*Calculadora!$E$10/1000*Calculadora!$E$11+J12)</f>
        <v/>
      </c>
      <c r="L12" s="114" t="str">
        <f aca="false">IF(G12="","",G12-K12)</f>
        <v/>
      </c>
      <c r="M12" s="115" t="str">
        <f aca="false">IF(OR(G12="",G12=0),"",L12/G12)</f>
        <v/>
      </c>
      <c r="N12" s="114" t="str">
        <f aca="false">IF(OR(G12="",I12="",I12=0),"",L12/I12)</f>
        <v/>
      </c>
      <c r="O12" s="61" t="str">
        <f aca="false">IF(N12="","",IF(N12&lt;Calculadora!$E$12,"Abaixo do piso",IF(N12&lt;Calculadora!$E$13,"Acima do piso","Na meta")))</f>
        <v/>
      </c>
      <c r="P12" s="89"/>
    </row>
    <row r="13" customFormat="false" ht="21.75" hidden="false" customHeight="true" outlineLevel="0" collapsed="false">
      <c r="B13" s="91"/>
      <c r="C13" s="89"/>
      <c r="D13" s="89"/>
      <c r="E13" s="89"/>
      <c r="F13" s="105"/>
      <c r="G13" s="104"/>
      <c r="H13" s="105"/>
      <c r="I13" s="90"/>
      <c r="J13" s="104"/>
      <c r="K13" s="113" t="str">
        <f aca="false">IF(G13="","",H13/1000*Calculadora!$E$8*(1+Calculadora!$E$9)+I13*Calculadora!$E$10/1000*Calculadora!$E$11+J13)</f>
        <v/>
      </c>
      <c r="L13" s="114" t="str">
        <f aca="false">IF(G13="","",G13-K13)</f>
        <v/>
      </c>
      <c r="M13" s="115" t="str">
        <f aca="false">IF(OR(G13="",G13=0),"",L13/G13)</f>
        <v/>
      </c>
      <c r="N13" s="114" t="str">
        <f aca="false">IF(OR(G13="",I13="",I13=0),"",L13/I13)</f>
        <v/>
      </c>
      <c r="O13" s="61" t="str">
        <f aca="false">IF(N13="","",IF(N13&lt;Calculadora!$E$12,"Abaixo do piso",IF(N13&lt;Calculadora!$E$13,"Acima do piso","Na meta")))</f>
        <v/>
      </c>
      <c r="P13" s="89"/>
    </row>
    <row r="14" customFormat="false" ht="21.75" hidden="false" customHeight="true" outlineLevel="0" collapsed="false">
      <c r="B14" s="91"/>
      <c r="C14" s="89"/>
      <c r="D14" s="89"/>
      <c r="E14" s="89"/>
      <c r="F14" s="105"/>
      <c r="G14" s="104"/>
      <c r="H14" s="105"/>
      <c r="I14" s="90"/>
      <c r="J14" s="104"/>
      <c r="K14" s="113" t="str">
        <f aca="false">IF(G14="","",H14/1000*Calculadora!$E$8*(1+Calculadora!$E$9)+I14*Calculadora!$E$10/1000*Calculadora!$E$11+J14)</f>
        <v/>
      </c>
      <c r="L14" s="114" t="str">
        <f aca="false">IF(G14="","",G14-K14)</f>
        <v/>
      </c>
      <c r="M14" s="115" t="str">
        <f aca="false">IF(OR(G14="",G14=0),"",L14/G14)</f>
        <v/>
      </c>
      <c r="N14" s="114" t="str">
        <f aca="false">IF(OR(G14="",I14="",I14=0),"",L14/I14)</f>
        <v/>
      </c>
      <c r="O14" s="61" t="str">
        <f aca="false">IF(N14="","",IF(N14&lt;Calculadora!$E$12,"Abaixo do piso",IF(N14&lt;Calculadora!$E$13,"Acima do piso","Na meta")))</f>
        <v/>
      </c>
      <c r="P14" s="89"/>
    </row>
    <row r="15" customFormat="false" ht="21.75" hidden="false" customHeight="true" outlineLevel="0" collapsed="false">
      <c r="B15" s="91"/>
      <c r="C15" s="89"/>
      <c r="D15" s="89"/>
      <c r="E15" s="89"/>
      <c r="F15" s="105"/>
      <c r="G15" s="104"/>
      <c r="H15" s="105"/>
      <c r="I15" s="90"/>
      <c r="J15" s="104"/>
      <c r="K15" s="113" t="str">
        <f aca="false">IF(G15="","",H15/1000*Calculadora!$E$8*(1+Calculadora!$E$9)+I15*Calculadora!$E$10/1000*Calculadora!$E$11+J15)</f>
        <v/>
      </c>
      <c r="L15" s="114" t="str">
        <f aca="false">IF(G15="","",G15-K15)</f>
        <v/>
      </c>
      <c r="M15" s="115" t="str">
        <f aca="false">IF(OR(G15="",G15=0),"",L15/G15)</f>
        <v/>
      </c>
      <c r="N15" s="114" t="str">
        <f aca="false">IF(OR(G15="",I15="",I15=0),"",L15/I15)</f>
        <v/>
      </c>
      <c r="O15" s="61" t="str">
        <f aca="false">IF(N15="","",IF(N15&lt;Calculadora!$E$12,"Abaixo do piso",IF(N15&lt;Calculadora!$E$13,"Acima do piso","Na meta")))</f>
        <v/>
      </c>
      <c r="P15" s="89"/>
    </row>
    <row r="16" customFormat="false" ht="21.75" hidden="false" customHeight="true" outlineLevel="0" collapsed="false">
      <c r="B16" s="91"/>
      <c r="C16" s="89"/>
      <c r="D16" s="89"/>
      <c r="E16" s="89"/>
      <c r="F16" s="105"/>
      <c r="G16" s="104"/>
      <c r="H16" s="105"/>
      <c r="I16" s="90"/>
      <c r="J16" s="104"/>
      <c r="K16" s="113" t="str">
        <f aca="false">IF(G16="","",H16/1000*Calculadora!$E$8*(1+Calculadora!$E$9)+I16*Calculadora!$E$10/1000*Calculadora!$E$11+J16)</f>
        <v/>
      </c>
      <c r="L16" s="114" t="str">
        <f aca="false">IF(G16="","",G16-K16)</f>
        <v/>
      </c>
      <c r="M16" s="115" t="str">
        <f aca="false">IF(OR(G16="",G16=0),"",L16/G16)</f>
        <v/>
      </c>
      <c r="N16" s="114" t="str">
        <f aca="false">IF(OR(G16="",I16="",I16=0),"",L16/I16)</f>
        <v/>
      </c>
      <c r="O16" s="61" t="str">
        <f aca="false">IF(N16="","",IF(N16&lt;Calculadora!$E$12,"Abaixo do piso",IF(N16&lt;Calculadora!$E$13,"Acima do piso","Na meta")))</f>
        <v/>
      </c>
      <c r="P16" s="89"/>
    </row>
    <row r="17" customFormat="false" ht="21.75" hidden="false" customHeight="true" outlineLevel="0" collapsed="false">
      <c r="B17" s="91"/>
      <c r="C17" s="89"/>
      <c r="D17" s="89"/>
      <c r="E17" s="89"/>
      <c r="F17" s="105"/>
      <c r="G17" s="104"/>
      <c r="H17" s="105"/>
      <c r="I17" s="90"/>
      <c r="J17" s="104"/>
      <c r="K17" s="113" t="str">
        <f aca="false">IF(G17="","",H17/1000*Calculadora!$E$8*(1+Calculadora!$E$9)+I17*Calculadora!$E$10/1000*Calculadora!$E$11+J17)</f>
        <v/>
      </c>
      <c r="L17" s="114" t="str">
        <f aca="false">IF(G17="","",G17-K17)</f>
        <v/>
      </c>
      <c r="M17" s="115" t="str">
        <f aca="false">IF(OR(G17="",G17=0),"",L17/G17)</f>
        <v/>
      </c>
      <c r="N17" s="114" t="str">
        <f aca="false">IF(OR(G17="",I17="",I17=0),"",L17/I17)</f>
        <v/>
      </c>
      <c r="O17" s="61" t="str">
        <f aca="false">IF(N17="","",IF(N17&lt;Calculadora!$E$12,"Abaixo do piso",IF(N17&lt;Calculadora!$E$13,"Acima do piso","Na meta")))</f>
        <v/>
      </c>
      <c r="P17" s="89"/>
    </row>
    <row r="18" customFormat="false" ht="21.75" hidden="false" customHeight="true" outlineLevel="0" collapsed="false">
      <c r="B18" s="91"/>
      <c r="C18" s="89"/>
      <c r="D18" s="89"/>
      <c r="E18" s="89"/>
      <c r="F18" s="105"/>
      <c r="G18" s="104"/>
      <c r="H18" s="105"/>
      <c r="I18" s="90"/>
      <c r="J18" s="104"/>
      <c r="K18" s="113" t="str">
        <f aca="false">IF(G18="","",H18/1000*Calculadora!$E$8*(1+Calculadora!$E$9)+I18*Calculadora!$E$10/1000*Calculadora!$E$11+J18)</f>
        <v/>
      </c>
      <c r="L18" s="114" t="str">
        <f aca="false">IF(G18="","",G18-K18)</f>
        <v/>
      </c>
      <c r="M18" s="115" t="str">
        <f aca="false">IF(OR(G18="",G18=0),"",L18/G18)</f>
        <v/>
      </c>
      <c r="N18" s="114" t="str">
        <f aca="false">IF(OR(G18="",I18="",I18=0),"",L18/I18)</f>
        <v/>
      </c>
      <c r="O18" s="61" t="str">
        <f aca="false">IF(N18="","",IF(N18&lt;Calculadora!$E$12,"Abaixo do piso",IF(N18&lt;Calculadora!$E$13,"Acima do piso","Na meta")))</f>
        <v/>
      </c>
      <c r="P18" s="89"/>
    </row>
    <row r="19" customFormat="false" ht="21.75" hidden="false" customHeight="true" outlineLevel="0" collapsed="false">
      <c r="B19" s="91"/>
      <c r="C19" s="89"/>
      <c r="D19" s="89"/>
      <c r="E19" s="89"/>
      <c r="F19" s="105"/>
      <c r="G19" s="104"/>
      <c r="H19" s="105"/>
      <c r="I19" s="90"/>
      <c r="J19" s="104"/>
      <c r="K19" s="113" t="str">
        <f aca="false">IF(G19="","",H19/1000*Calculadora!$E$8*(1+Calculadora!$E$9)+I19*Calculadora!$E$10/1000*Calculadora!$E$11+J19)</f>
        <v/>
      </c>
      <c r="L19" s="114" t="str">
        <f aca="false">IF(G19="","",G19-K19)</f>
        <v/>
      </c>
      <c r="M19" s="115" t="str">
        <f aca="false">IF(OR(G19="",G19=0),"",L19/G19)</f>
        <v/>
      </c>
      <c r="N19" s="114" t="str">
        <f aca="false">IF(OR(G19="",I19="",I19=0),"",L19/I19)</f>
        <v/>
      </c>
      <c r="O19" s="61" t="str">
        <f aca="false">IF(N19="","",IF(N19&lt;Calculadora!$E$12,"Abaixo do piso",IF(N19&lt;Calculadora!$E$13,"Acima do piso","Na meta")))</f>
        <v/>
      </c>
      <c r="P19" s="89"/>
    </row>
    <row r="20" customFormat="false" ht="21.75" hidden="false" customHeight="true" outlineLevel="0" collapsed="false">
      <c r="B20" s="91"/>
      <c r="C20" s="89"/>
      <c r="D20" s="89"/>
      <c r="E20" s="89"/>
      <c r="F20" s="105"/>
      <c r="G20" s="104"/>
      <c r="H20" s="105"/>
      <c r="I20" s="90"/>
      <c r="J20" s="104"/>
      <c r="K20" s="113" t="str">
        <f aca="false">IF(G20="","",H20/1000*Calculadora!$E$8*(1+Calculadora!$E$9)+I20*Calculadora!$E$10/1000*Calculadora!$E$11+J20)</f>
        <v/>
      </c>
      <c r="L20" s="114" t="str">
        <f aca="false">IF(G20="","",G20-K20)</f>
        <v/>
      </c>
      <c r="M20" s="115" t="str">
        <f aca="false">IF(OR(G20="",G20=0),"",L20/G20)</f>
        <v/>
      </c>
      <c r="N20" s="114" t="str">
        <f aca="false">IF(OR(G20="",I20="",I20=0),"",L20/I20)</f>
        <v/>
      </c>
      <c r="O20" s="61" t="str">
        <f aca="false">IF(N20="","",IF(N20&lt;Calculadora!$E$12,"Abaixo do piso",IF(N20&lt;Calculadora!$E$13,"Acima do piso","Na meta")))</f>
        <v/>
      </c>
      <c r="P20" s="89"/>
    </row>
    <row r="21" customFormat="false" ht="21.75" hidden="false" customHeight="true" outlineLevel="0" collapsed="false">
      <c r="B21" s="91"/>
      <c r="C21" s="89"/>
      <c r="D21" s="89"/>
      <c r="E21" s="89"/>
      <c r="F21" s="105"/>
      <c r="G21" s="104"/>
      <c r="H21" s="105"/>
      <c r="I21" s="90"/>
      <c r="J21" s="104"/>
      <c r="K21" s="113" t="str">
        <f aca="false">IF(G21="","",H21/1000*Calculadora!$E$8*(1+Calculadora!$E$9)+I21*Calculadora!$E$10/1000*Calculadora!$E$11+J21)</f>
        <v/>
      </c>
      <c r="L21" s="114" t="str">
        <f aca="false">IF(G21="","",G21-K21)</f>
        <v/>
      </c>
      <c r="M21" s="115" t="str">
        <f aca="false">IF(OR(G21="",G21=0),"",L21/G21)</f>
        <v/>
      </c>
      <c r="N21" s="114" t="str">
        <f aca="false">IF(OR(G21="",I21="",I21=0),"",L21/I21)</f>
        <v/>
      </c>
      <c r="O21" s="61" t="str">
        <f aca="false">IF(N21="","",IF(N21&lt;Calculadora!$E$12,"Abaixo do piso",IF(N21&lt;Calculadora!$E$13,"Acima do piso","Na meta")))</f>
        <v/>
      </c>
      <c r="P21" s="89"/>
    </row>
    <row r="22" customFormat="false" ht="21.75" hidden="false" customHeight="true" outlineLevel="0" collapsed="false">
      <c r="B22" s="91"/>
      <c r="C22" s="89"/>
      <c r="D22" s="89"/>
      <c r="E22" s="89"/>
      <c r="F22" s="105"/>
      <c r="G22" s="104"/>
      <c r="H22" s="105"/>
      <c r="I22" s="90"/>
      <c r="J22" s="104"/>
      <c r="K22" s="113" t="str">
        <f aca="false">IF(G22="","",H22/1000*Calculadora!$E$8*(1+Calculadora!$E$9)+I22*Calculadora!$E$10/1000*Calculadora!$E$11+J22)</f>
        <v/>
      </c>
      <c r="L22" s="114" t="str">
        <f aca="false">IF(G22="","",G22-K22)</f>
        <v/>
      </c>
      <c r="M22" s="115" t="str">
        <f aca="false">IF(OR(G22="",G22=0),"",L22/G22)</f>
        <v/>
      </c>
      <c r="N22" s="114" t="str">
        <f aca="false">IF(OR(G22="",I22="",I22=0),"",L22/I22)</f>
        <v/>
      </c>
      <c r="O22" s="61" t="str">
        <f aca="false">IF(N22="","",IF(N22&lt;Calculadora!$E$12,"Abaixo do piso",IF(N22&lt;Calculadora!$E$13,"Acima do piso","Na meta")))</f>
        <v/>
      </c>
      <c r="P22" s="89"/>
    </row>
    <row r="23" customFormat="false" ht="21.75" hidden="false" customHeight="true" outlineLevel="0" collapsed="false">
      <c r="B23" s="91"/>
      <c r="C23" s="89"/>
      <c r="D23" s="89"/>
      <c r="E23" s="89"/>
      <c r="F23" s="105"/>
      <c r="G23" s="104"/>
      <c r="H23" s="105"/>
      <c r="I23" s="90"/>
      <c r="J23" s="104"/>
      <c r="K23" s="113" t="str">
        <f aca="false">IF(G23="","",H23/1000*Calculadora!$E$8*(1+Calculadora!$E$9)+I23*Calculadora!$E$10/1000*Calculadora!$E$11+J23)</f>
        <v/>
      </c>
      <c r="L23" s="114" t="str">
        <f aca="false">IF(G23="","",G23-K23)</f>
        <v/>
      </c>
      <c r="M23" s="115" t="str">
        <f aca="false">IF(OR(G23="",G23=0),"",L23/G23)</f>
        <v/>
      </c>
      <c r="N23" s="114" t="str">
        <f aca="false">IF(OR(G23="",I23="",I23=0),"",L23/I23)</f>
        <v/>
      </c>
      <c r="O23" s="61" t="str">
        <f aca="false">IF(N23="","",IF(N23&lt;Calculadora!$E$12,"Abaixo do piso",IF(N23&lt;Calculadora!$E$13,"Acima do piso","Na meta")))</f>
        <v/>
      </c>
      <c r="P23" s="89"/>
    </row>
    <row r="24" customFormat="false" ht="21.75" hidden="false" customHeight="true" outlineLevel="0" collapsed="false">
      <c r="B24" s="91"/>
      <c r="C24" s="89"/>
      <c r="D24" s="89"/>
      <c r="E24" s="89"/>
      <c r="F24" s="105"/>
      <c r="G24" s="104"/>
      <c r="H24" s="105"/>
      <c r="I24" s="90"/>
      <c r="J24" s="104"/>
      <c r="K24" s="113" t="str">
        <f aca="false">IF(G24="","",H24/1000*Calculadora!$E$8*(1+Calculadora!$E$9)+I24*Calculadora!$E$10/1000*Calculadora!$E$11+J24)</f>
        <v/>
      </c>
      <c r="L24" s="114" t="str">
        <f aca="false">IF(G24="","",G24-K24)</f>
        <v/>
      </c>
      <c r="M24" s="115" t="str">
        <f aca="false">IF(OR(G24="",G24=0),"",L24/G24)</f>
        <v/>
      </c>
      <c r="N24" s="114" t="str">
        <f aca="false">IF(OR(G24="",I24="",I24=0),"",L24/I24)</f>
        <v/>
      </c>
      <c r="O24" s="61" t="str">
        <f aca="false">IF(N24="","",IF(N24&lt;Calculadora!$E$12,"Abaixo do piso",IF(N24&lt;Calculadora!$E$13,"Acima do piso","Na meta")))</f>
        <v/>
      </c>
      <c r="P24" s="89"/>
    </row>
    <row r="25" customFormat="false" ht="21.75" hidden="false" customHeight="true" outlineLevel="0" collapsed="false">
      <c r="B25" s="91"/>
      <c r="C25" s="89"/>
      <c r="D25" s="89"/>
      <c r="E25" s="89"/>
      <c r="F25" s="105"/>
      <c r="G25" s="104"/>
      <c r="H25" s="105"/>
      <c r="I25" s="90"/>
      <c r="J25" s="104"/>
      <c r="K25" s="113" t="str">
        <f aca="false">IF(G25="","",H25/1000*Calculadora!$E$8*(1+Calculadora!$E$9)+I25*Calculadora!$E$10/1000*Calculadora!$E$11+J25)</f>
        <v/>
      </c>
      <c r="L25" s="114" t="str">
        <f aca="false">IF(G25="","",G25-K25)</f>
        <v/>
      </c>
      <c r="M25" s="115" t="str">
        <f aca="false">IF(OR(G25="",G25=0),"",L25/G25)</f>
        <v/>
      </c>
      <c r="N25" s="114" t="str">
        <f aca="false">IF(OR(G25="",I25="",I25=0),"",L25/I25)</f>
        <v/>
      </c>
      <c r="O25" s="61" t="str">
        <f aca="false">IF(N25="","",IF(N25&lt;Calculadora!$E$12,"Abaixo do piso",IF(N25&lt;Calculadora!$E$13,"Acima do piso","Na meta")))</f>
        <v/>
      </c>
      <c r="P25" s="89"/>
    </row>
    <row r="26" customFormat="false" ht="21.75" hidden="false" customHeight="true" outlineLevel="0" collapsed="false">
      <c r="B26" s="91"/>
      <c r="C26" s="89"/>
      <c r="D26" s="89"/>
      <c r="E26" s="89"/>
      <c r="F26" s="105"/>
      <c r="G26" s="104"/>
      <c r="H26" s="105"/>
      <c r="I26" s="90"/>
      <c r="J26" s="104"/>
      <c r="K26" s="113" t="str">
        <f aca="false">IF(G26="","",H26/1000*Calculadora!$E$8*(1+Calculadora!$E$9)+I26*Calculadora!$E$10/1000*Calculadora!$E$11+J26)</f>
        <v/>
      </c>
      <c r="L26" s="114" t="str">
        <f aca="false">IF(G26="","",G26-K26)</f>
        <v/>
      </c>
      <c r="M26" s="115" t="str">
        <f aca="false">IF(OR(G26="",G26=0),"",L26/G26)</f>
        <v/>
      </c>
      <c r="N26" s="114" t="str">
        <f aca="false">IF(OR(G26="",I26="",I26=0),"",L26/I26)</f>
        <v/>
      </c>
      <c r="O26" s="61" t="str">
        <f aca="false">IF(N26="","",IF(N26&lt;Calculadora!$E$12,"Abaixo do piso",IF(N26&lt;Calculadora!$E$13,"Acima do piso","Na meta")))</f>
        <v/>
      </c>
      <c r="P26" s="89"/>
    </row>
    <row r="27" customFormat="false" ht="21.75" hidden="false" customHeight="true" outlineLevel="0" collapsed="false">
      <c r="B27" s="91"/>
      <c r="C27" s="89"/>
      <c r="D27" s="89"/>
      <c r="E27" s="89"/>
      <c r="F27" s="105"/>
      <c r="G27" s="104"/>
      <c r="H27" s="105"/>
      <c r="I27" s="90"/>
      <c r="J27" s="104"/>
      <c r="K27" s="113" t="str">
        <f aca="false">IF(G27="","",H27/1000*Calculadora!$E$8*(1+Calculadora!$E$9)+I27*Calculadora!$E$10/1000*Calculadora!$E$11+J27)</f>
        <v/>
      </c>
      <c r="L27" s="114" t="str">
        <f aca="false">IF(G27="","",G27-K27)</f>
        <v/>
      </c>
      <c r="M27" s="115" t="str">
        <f aca="false">IF(OR(G27="",G27=0),"",L27/G27)</f>
        <v/>
      </c>
      <c r="N27" s="114" t="str">
        <f aca="false">IF(OR(G27="",I27="",I27=0),"",L27/I27)</f>
        <v/>
      </c>
      <c r="O27" s="61" t="str">
        <f aca="false">IF(N27="","",IF(N27&lt;Calculadora!$E$12,"Abaixo do piso",IF(N27&lt;Calculadora!$E$13,"Acima do piso","Na meta")))</f>
        <v/>
      </c>
      <c r="P27" s="89"/>
    </row>
    <row r="28" customFormat="false" ht="21.75" hidden="false" customHeight="true" outlineLevel="0" collapsed="false">
      <c r="B28" s="91"/>
      <c r="C28" s="89"/>
      <c r="D28" s="89"/>
      <c r="E28" s="89"/>
      <c r="F28" s="105"/>
      <c r="G28" s="104"/>
      <c r="H28" s="105"/>
      <c r="I28" s="90"/>
      <c r="J28" s="104"/>
      <c r="K28" s="113" t="str">
        <f aca="false">IF(G28="","",H28/1000*Calculadora!$E$8*(1+Calculadora!$E$9)+I28*Calculadora!$E$10/1000*Calculadora!$E$11+J28)</f>
        <v/>
      </c>
      <c r="L28" s="114" t="str">
        <f aca="false">IF(G28="","",G28-K28)</f>
        <v/>
      </c>
      <c r="M28" s="115" t="str">
        <f aca="false">IF(OR(G28="",G28=0),"",L28/G28)</f>
        <v/>
      </c>
      <c r="N28" s="114" t="str">
        <f aca="false">IF(OR(G28="",I28="",I28=0),"",L28/I28)</f>
        <v/>
      </c>
      <c r="O28" s="61" t="str">
        <f aca="false">IF(N28="","",IF(N28&lt;Calculadora!$E$12,"Abaixo do piso",IF(N28&lt;Calculadora!$E$13,"Acima do piso","Na meta")))</f>
        <v/>
      </c>
      <c r="P28" s="89"/>
    </row>
    <row r="29" customFormat="false" ht="21.75" hidden="false" customHeight="true" outlineLevel="0" collapsed="false">
      <c r="B29" s="91"/>
      <c r="C29" s="89"/>
      <c r="D29" s="89"/>
      <c r="E29" s="89"/>
      <c r="F29" s="105"/>
      <c r="G29" s="104"/>
      <c r="H29" s="105"/>
      <c r="I29" s="90"/>
      <c r="J29" s="104"/>
      <c r="K29" s="113" t="str">
        <f aca="false">IF(G29="","",H29/1000*Calculadora!$E$8*(1+Calculadora!$E$9)+I29*Calculadora!$E$10/1000*Calculadora!$E$11+J29)</f>
        <v/>
      </c>
      <c r="L29" s="114" t="str">
        <f aca="false">IF(G29="","",G29-K29)</f>
        <v/>
      </c>
      <c r="M29" s="115" t="str">
        <f aca="false">IF(OR(G29="",G29=0),"",L29/G29)</f>
        <v/>
      </c>
      <c r="N29" s="114" t="str">
        <f aca="false">IF(OR(G29="",I29="",I29=0),"",L29/I29)</f>
        <v/>
      </c>
      <c r="O29" s="61" t="str">
        <f aca="false">IF(N29="","",IF(N29&lt;Calculadora!$E$12,"Abaixo do piso",IF(N29&lt;Calculadora!$E$13,"Acima do piso","Na meta")))</f>
        <v/>
      </c>
      <c r="P29" s="89"/>
    </row>
    <row r="30" customFormat="false" ht="21.75" hidden="false" customHeight="true" outlineLevel="0" collapsed="false">
      <c r="B30" s="91"/>
      <c r="C30" s="89"/>
      <c r="D30" s="89"/>
      <c r="E30" s="89"/>
      <c r="F30" s="105"/>
      <c r="G30" s="104"/>
      <c r="H30" s="105"/>
      <c r="I30" s="90"/>
      <c r="J30" s="104"/>
      <c r="K30" s="113" t="str">
        <f aca="false">IF(G30="","",H30/1000*Calculadora!$E$8*(1+Calculadora!$E$9)+I30*Calculadora!$E$10/1000*Calculadora!$E$11+J30)</f>
        <v/>
      </c>
      <c r="L30" s="114" t="str">
        <f aca="false">IF(G30="","",G30-K30)</f>
        <v/>
      </c>
      <c r="M30" s="115" t="str">
        <f aca="false">IF(OR(G30="",G30=0),"",L30/G30)</f>
        <v/>
      </c>
      <c r="N30" s="114" t="str">
        <f aca="false">IF(OR(G30="",I30="",I30=0),"",L30/I30)</f>
        <v/>
      </c>
      <c r="O30" s="61" t="str">
        <f aca="false">IF(N30="","",IF(N30&lt;Calculadora!$E$12,"Abaixo do piso",IF(N30&lt;Calculadora!$E$13,"Acima do piso","Na meta")))</f>
        <v/>
      </c>
      <c r="P30" s="89"/>
    </row>
    <row r="31" customFormat="false" ht="21.75" hidden="false" customHeight="true" outlineLevel="0" collapsed="false">
      <c r="B31" s="91"/>
      <c r="C31" s="89"/>
      <c r="D31" s="89"/>
      <c r="E31" s="89"/>
      <c r="F31" s="105"/>
      <c r="G31" s="104"/>
      <c r="H31" s="105"/>
      <c r="I31" s="90"/>
      <c r="J31" s="104"/>
      <c r="K31" s="113" t="str">
        <f aca="false">IF(G31="","",H31/1000*Calculadora!$E$8*(1+Calculadora!$E$9)+I31*Calculadora!$E$10/1000*Calculadora!$E$11+J31)</f>
        <v/>
      </c>
      <c r="L31" s="114" t="str">
        <f aca="false">IF(G31="","",G31-K31)</f>
        <v/>
      </c>
      <c r="M31" s="115" t="str">
        <f aca="false">IF(OR(G31="",G31=0),"",L31/G31)</f>
        <v/>
      </c>
      <c r="N31" s="114" t="str">
        <f aca="false">IF(OR(G31="",I31="",I31=0),"",L31/I31)</f>
        <v/>
      </c>
      <c r="O31" s="61" t="str">
        <f aca="false">IF(N31="","",IF(N31&lt;Calculadora!$E$12,"Abaixo do piso",IF(N31&lt;Calculadora!$E$13,"Acima do piso","Na meta")))</f>
        <v/>
      </c>
      <c r="P31" s="89"/>
    </row>
    <row r="32" customFormat="false" ht="21.75" hidden="false" customHeight="true" outlineLevel="0" collapsed="false">
      <c r="B32" s="91"/>
      <c r="C32" s="89"/>
      <c r="D32" s="89"/>
      <c r="E32" s="89"/>
      <c r="F32" s="105"/>
      <c r="G32" s="104"/>
      <c r="H32" s="105"/>
      <c r="I32" s="90"/>
      <c r="J32" s="104"/>
      <c r="K32" s="113" t="str">
        <f aca="false">IF(G32="","",H32/1000*Calculadora!$E$8*(1+Calculadora!$E$9)+I32*Calculadora!$E$10/1000*Calculadora!$E$11+J32)</f>
        <v/>
      </c>
      <c r="L32" s="114" t="str">
        <f aca="false">IF(G32="","",G32-K32)</f>
        <v/>
      </c>
      <c r="M32" s="115" t="str">
        <f aca="false">IF(OR(G32="",G32=0),"",L32/G32)</f>
        <v/>
      </c>
      <c r="N32" s="114" t="str">
        <f aca="false">IF(OR(G32="",I32="",I32=0),"",L32/I32)</f>
        <v/>
      </c>
      <c r="O32" s="61" t="str">
        <f aca="false">IF(N32="","",IF(N32&lt;Calculadora!$E$12,"Abaixo do piso",IF(N32&lt;Calculadora!$E$13,"Acima do piso","Na meta")))</f>
        <v/>
      </c>
      <c r="P32" s="89"/>
    </row>
    <row r="33" customFormat="false" ht="21.75" hidden="false" customHeight="true" outlineLevel="0" collapsed="false">
      <c r="B33" s="91"/>
      <c r="C33" s="89"/>
      <c r="D33" s="89"/>
      <c r="E33" s="89"/>
      <c r="F33" s="105"/>
      <c r="G33" s="104"/>
      <c r="H33" s="105"/>
      <c r="I33" s="90"/>
      <c r="J33" s="104"/>
      <c r="K33" s="113" t="str">
        <f aca="false">IF(G33="","",H33/1000*Calculadora!$E$8*(1+Calculadora!$E$9)+I33*Calculadora!$E$10/1000*Calculadora!$E$11+J33)</f>
        <v/>
      </c>
      <c r="L33" s="114" t="str">
        <f aca="false">IF(G33="","",G33-K33)</f>
        <v/>
      </c>
      <c r="M33" s="115" t="str">
        <f aca="false">IF(OR(G33="",G33=0),"",L33/G33)</f>
        <v/>
      </c>
      <c r="N33" s="114" t="str">
        <f aca="false">IF(OR(G33="",I33="",I33=0),"",L33/I33)</f>
        <v/>
      </c>
      <c r="O33" s="61" t="str">
        <f aca="false">IF(N33="","",IF(N33&lt;Calculadora!$E$12,"Abaixo do piso",IF(N33&lt;Calculadora!$E$13,"Acima do piso","Na meta")))</f>
        <v/>
      </c>
      <c r="P33" s="89"/>
    </row>
    <row r="34" customFormat="false" ht="21.75" hidden="false" customHeight="true" outlineLevel="0" collapsed="false">
      <c r="B34" s="91"/>
      <c r="C34" s="89"/>
      <c r="D34" s="89"/>
      <c r="E34" s="89"/>
      <c r="F34" s="105"/>
      <c r="G34" s="104"/>
      <c r="H34" s="105"/>
      <c r="I34" s="90"/>
      <c r="J34" s="104"/>
      <c r="K34" s="113" t="str">
        <f aca="false">IF(G34="","",H34/1000*Calculadora!$E$8*(1+Calculadora!$E$9)+I34*Calculadora!$E$10/1000*Calculadora!$E$11+J34)</f>
        <v/>
      </c>
      <c r="L34" s="114" t="str">
        <f aca="false">IF(G34="","",G34-K34)</f>
        <v/>
      </c>
      <c r="M34" s="115" t="str">
        <f aca="false">IF(OR(G34="",G34=0),"",L34/G34)</f>
        <v/>
      </c>
      <c r="N34" s="114" t="str">
        <f aca="false">IF(OR(G34="",I34="",I34=0),"",L34/I34)</f>
        <v/>
      </c>
      <c r="O34" s="61" t="str">
        <f aca="false">IF(N34="","",IF(N34&lt;Calculadora!$E$12,"Abaixo do piso",IF(N34&lt;Calculadora!$E$13,"Acima do piso","Na meta")))</f>
        <v/>
      </c>
      <c r="P34" s="89"/>
    </row>
    <row r="35" customFormat="false" ht="21.75" hidden="false" customHeight="true" outlineLevel="0" collapsed="false">
      <c r="B35" s="91"/>
      <c r="C35" s="89"/>
      <c r="D35" s="89"/>
      <c r="E35" s="89"/>
      <c r="F35" s="105"/>
      <c r="G35" s="104"/>
      <c r="H35" s="105"/>
      <c r="I35" s="90"/>
      <c r="J35" s="104"/>
      <c r="K35" s="113" t="str">
        <f aca="false">IF(G35="","",H35/1000*Calculadora!$E$8*(1+Calculadora!$E$9)+I35*Calculadora!$E$10/1000*Calculadora!$E$11+J35)</f>
        <v/>
      </c>
      <c r="L35" s="114" t="str">
        <f aca="false">IF(G35="","",G35-K35)</f>
        <v/>
      </c>
      <c r="M35" s="115" t="str">
        <f aca="false">IF(OR(G35="",G35=0),"",L35/G35)</f>
        <v/>
      </c>
      <c r="N35" s="114" t="str">
        <f aca="false">IF(OR(G35="",I35="",I35=0),"",L35/I35)</f>
        <v/>
      </c>
      <c r="O35" s="61" t="str">
        <f aca="false">IF(N35="","",IF(N35&lt;Calculadora!$E$12,"Abaixo do piso",IF(N35&lt;Calculadora!$E$13,"Acima do piso","Na meta")))</f>
        <v/>
      </c>
      <c r="P35" s="89"/>
    </row>
    <row r="36" customFormat="false" ht="21.75" hidden="false" customHeight="true" outlineLevel="0" collapsed="false">
      <c r="B36" s="91"/>
      <c r="C36" s="89"/>
      <c r="D36" s="89"/>
      <c r="E36" s="89"/>
      <c r="F36" s="105"/>
      <c r="G36" s="104"/>
      <c r="H36" s="105"/>
      <c r="I36" s="90"/>
      <c r="J36" s="104"/>
      <c r="K36" s="113" t="str">
        <f aca="false">IF(G36="","",H36/1000*Calculadora!$E$8*(1+Calculadora!$E$9)+I36*Calculadora!$E$10/1000*Calculadora!$E$11+J36)</f>
        <v/>
      </c>
      <c r="L36" s="114" t="str">
        <f aca="false">IF(G36="","",G36-K36)</f>
        <v/>
      </c>
      <c r="M36" s="115" t="str">
        <f aca="false">IF(OR(G36="",G36=0),"",L36/G36)</f>
        <v/>
      </c>
      <c r="N36" s="114" t="str">
        <f aca="false">IF(OR(G36="",I36="",I36=0),"",L36/I36)</f>
        <v/>
      </c>
      <c r="O36" s="61" t="str">
        <f aca="false">IF(N36="","",IF(N36&lt;Calculadora!$E$12,"Abaixo do piso",IF(N36&lt;Calculadora!$E$13,"Acima do piso","Na meta")))</f>
        <v/>
      </c>
      <c r="P36" s="89"/>
    </row>
    <row r="37" customFormat="false" ht="21.75" hidden="false" customHeight="true" outlineLevel="0" collapsed="false">
      <c r="B37" s="91"/>
      <c r="C37" s="89"/>
      <c r="D37" s="89"/>
      <c r="E37" s="89"/>
      <c r="F37" s="105"/>
      <c r="G37" s="104"/>
      <c r="H37" s="105"/>
      <c r="I37" s="90"/>
      <c r="J37" s="104"/>
      <c r="K37" s="113" t="str">
        <f aca="false">IF(G37="","",H37/1000*Calculadora!$E$8*(1+Calculadora!$E$9)+I37*Calculadora!$E$10/1000*Calculadora!$E$11+J37)</f>
        <v/>
      </c>
      <c r="L37" s="114" t="str">
        <f aca="false">IF(G37="","",G37-K37)</f>
        <v/>
      </c>
      <c r="M37" s="115" t="str">
        <f aca="false">IF(OR(G37="",G37=0),"",L37/G37)</f>
        <v/>
      </c>
      <c r="N37" s="114" t="str">
        <f aca="false">IF(OR(G37="",I37="",I37=0),"",L37/I37)</f>
        <v/>
      </c>
      <c r="O37" s="61" t="str">
        <f aca="false">IF(N37="","",IF(N37&lt;Calculadora!$E$12,"Abaixo do piso",IF(N37&lt;Calculadora!$E$13,"Acima do piso","Na meta")))</f>
        <v/>
      </c>
      <c r="P37" s="89"/>
    </row>
    <row r="38" customFormat="false" ht="21.75" hidden="false" customHeight="true" outlineLevel="0" collapsed="false">
      <c r="B38" s="91"/>
      <c r="C38" s="89"/>
      <c r="D38" s="89"/>
      <c r="E38" s="89"/>
      <c r="F38" s="105"/>
      <c r="G38" s="104"/>
      <c r="H38" s="105"/>
      <c r="I38" s="90"/>
      <c r="J38" s="104"/>
      <c r="K38" s="113" t="str">
        <f aca="false">IF(G38="","",H38/1000*Calculadora!$E$8*(1+Calculadora!$E$9)+I38*Calculadora!$E$10/1000*Calculadora!$E$11+J38)</f>
        <v/>
      </c>
      <c r="L38" s="114" t="str">
        <f aca="false">IF(G38="","",G38-K38)</f>
        <v/>
      </c>
      <c r="M38" s="115" t="str">
        <f aca="false">IF(OR(G38="",G38=0),"",L38/G38)</f>
        <v/>
      </c>
      <c r="N38" s="114" t="str">
        <f aca="false">IF(OR(G38="",I38="",I38=0),"",L38/I38)</f>
        <v/>
      </c>
      <c r="O38" s="61" t="str">
        <f aca="false">IF(N38="","",IF(N38&lt;Calculadora!$E$12,"Abaixo do piso",IF(N38&lt;Calculadora!$E$13,"Acima do piso","Na meta")))</f>
        <v/>
      </c>
      <c r="P38" s="89"/>
    </row>
    <row r="39" customFormat="false" ht="21.75" hidden="false" customHeight="true" outlineLevel="0" collapsed="false">
      <c r="B39" s="91"/>
      <c r="C39" s="89"/>
      <c r="D39" s="89"/>
      <c r="E39" s="89"/>
      <c r="F39" s="105"/>
      <c r="G39" s="104"/>
      <c r="H39" s="105"/>
      <c r="I39" s="90"/>
      <c r="J39" s="104"/>
      <c r="K39" s="113" t="str">
        <f aca="false">IF(G39="","",H39/1000*Calculadora!$E$8*(1+Calculadora!$E$9)+I39*Calculadora!$E$10/1000*Calculadora!$E$11+J39)</f>
        <v/>
      </c>
      <c r="L39" s="114" t="str">
        <f aca="false">IF(G39="","",G39-K39)</f>
        <v/>
      </c>
      <c r="M39" s="115" t="str">
        <f aca="false">IF(OR(G39="",G39=0),"",L39/G39)</f>
        <v/>
      </c>
      <c r="N39" s="114" t="str">
        <f aca="false">IF(OR(G39="",I39="",I39=0),"",L39/I39)</f>
        <v/>
      </c>
      <c r="O39" s="61" t="str">
        <f aca="false">IF(N39="","",IF(N39&lt;Calculadora!$E$12,"Abaixo do piso",IF(N39&lt;Calculadora!$E$13,"Acima do piso","Na meta")))</f>
        <v/>
      </c>
      <c r="P39" s="89"/>
    </row>
    <row r="40" customFormat="false" ht="21.75" hidden="false" customHeight="true" outlineLevel="0" collapsed="false">
      <c r="B40" s="91"/>
      <c r="C40" s="89"/>
      <c r="D40" s="89"/>
      <c r="E40" s="89"/>
      <c r="F40" s="105"/>
      <c r="G40" s="104"/>
      <c r="H40" s="105"/>
      <c r="I40" s="90"/>
      <c r="J40" s="104"/>
      <c r="K40" s="113" t="str">
        <f aca="false">IF(G40="","",H40/1000*Calculadora!$E$8*(1+Calculadora!$E$9)+I40*Calculadora!$E$10/1000*Calculadora!$E$11+J40)</f>
        <v/>
      </c>
      <c r="L40" s="114" t="str">
        <f aca="false">IF(G40="","",G40-K40)</f>
        <v/>
      </c>
      <c r="M40" s="115" t="str">
        <f aca="false">IF(OR(G40="",G40=0),"",L40/G40)</f>
        <v/>
      </c>
      <c r="N40" s="114" t="str">
        <f aca="false">IF(OR(G40="",I40="",I40=0),"",L40/I40)</f>
        <v/>
      </c>
      <c r="O40" s="61" t="str">
        <f aca="false">IF(N40="","",IF(N40&lt;Calculadora!$E$12,"Abaixo do piso",IF(N40&lt;Calculadora!$E$13,"Acima do piso","Na meta")))</f>
        <v/>
      </c>
      <c r="P40" s="89"/>
    </row>
    <row r="41" customFormat="false" ht="21.75" hidden="false" customHeight="true" outlineLevel="0" collapsed="false">
      <c r="B41" s="91"/>
      <c r="C41" s="89"/>
      <c r="D41" s="89"/>
      <c r="E41" s="89"/>
      <c r="F41" s="105"/>
      <c r="G41" s="104"/>
      <c r="H41" s="105"/>
      <c r="I41" s="90"/>
      <c r="J41" s="104"/>
      <c r="K41" s="113" t="str">
        <f aca="false">IF(G41="","",H41/1000*Calculadora!$E$8*(1+Calculadora!$E$9)+I41*Calculadora!$E$10/1000*Calculadora!$E$11+J41)</f>
        <v/>
      </c>
      <c r="L41" s="114" t="str">
        <f aca="false">IF(G41="","",G41-K41)</f>
        <v/>
      </c>
      <c r="M41" s="115" t="str">
        <f aca="false">IF(OR(G41="",G41=0),"",L41/G41)</f>
        <v/>
      </c>
      <c r="N41" s="114" t="str">
        <f aca="false">IF(OR(G41="",I41="",I41=0),"",L41/I41)</f>
        <v/>
      </c>
      <c r="O41" s="61" t="str">
        <f aca="false">IF(N41="","",IF(N41&lt;Calculadora!$E$12,"Abaixo do piso",IF(N41&lt;Calculadora!$E$13,"Acima do piso","Na meta")))</f>
        <v/>
      </c>
      <c r="P41" s="89"/>
    </row>
    <row r="42" customFormat="false" ht="21.75" hidden="false" customHeight="true" outlineLevel="0" collapsed="false">
      <c r="B42" s="91"/>
      <c r="C42" s="89"/>
      <c r="D42" s="89"/>
      <c r="E42" s="89"/>
      <c r="F42" s="105"/>
      <c r="G42" s="104"/>
      <c r="H42" s="105"/>
      <c r="I42" s="90"/>
      <c r="J42" s="104"/>
      <c r="K42" s="113" t="str">
        <f aca="false">IF(G42="","",H42/1000*Calculadora!$E$8*(1+Calculadora!$E$9)+I42*Calculadora!$E$10/1000*Calculadora!$E$11+J42)</f>
        <v/>
      </c>
      <c r="L42" s="114" t="str">
        <f aca="false">IF(G42="","",G42-K42)</f>
        <v/>
      </c>
      <c r="M42" s="115" t="str">
        <f aca="false">IF(OR(G42="",G42=0),"",L42/G42)</f>
        <v/>
      </c>
      <c r="N42" s="114" t="str">
        <f aca="false">IF(OR(G42="",I42="",I42=0),"",L42/I42)</f>
        <v/>
      </c>
      <c r="O42" s="61" t="str">
        <f aca="false">IF(N42="","",IF(N42&lt;Calculadora!$E$12,"Abaixo do piso",IF(N42&lt;Calculadora!$E$13,"Acima do piso","Na meta")))</f>
        <v/>
      </c>
      <c r="P42" s="89"/>
    </row>
    <row r="43" customFormat="false" ht="21.75" hidden="false" customHeight="true" outlineLevel="0" collapsed="false">
      <c r="B43" s="91"/>
      <c r="C43" s="89"/>
      <c r="D43" s="89"/>
      <c r="E43" s="89"/>
      <c r="F43" s="105"/>
      <c r="G43" s="104"/>
      <c r="H43" s="105"/>
      <c r="I43" s="90"/>
      <c r="J43" s="104"/>
      <c r="K43" s="113" t="str">
        <f aca="false">IF(G43="","",H43/1000*Calculadora!$E$8*(1+Calculadora!$E$9)+I43*Calculadora!$E$10/1000*Calculadora!$E$11+J43)</f>
        <v/>
      </c>
      <c r="L43" s="114" t="str">
        <f aca="false">IF(G43="","",G43-K43)</f>
        <v/>
      </c>
      <c r="M43" s="115" t="str">
        <f aca="false">IF(OR(G43="",G43=0),"",L43/G43)</f>
        <v/>
      </c>
      <c r="N43" s="114" t="str">
        <f aca="false">IF(OR(G43="",I43="",I43=0),"",L43/I43)</f>
        <v/>
      </c>
      <c r="O43" s="61" t="str">
        <f aca="false">IF(N43="","",IF(N43&lt;Calculadora!$E$12,"Abaixo do piso",IF(N43&lt;Calculadora!$E$13,"Acima do piso","Na meta")))</f>
        <v/>
      </c>
      <c r="P43" s="89"/>
    </row>
    <row r="44" customFormat="false" ht="21.75" hidden="false" customHeight="true" outlineLevel="0" collapsed="false">
      <c r="B44" s="91"/>
      <c r="C44" s="89"/>
      <c r="D44" s="89"/>
      <c r="E44" s="89"/>
      <c r="F44" s="105"/>
      <c r="G44" s="104"/>
      <c r="H44" s="105"/>
      <c r="I44" s="90"/>
      <c r="J44" s="104"/>
      <c r="K44" s="113" t="str">
        <f aca="false">IF(G44="","",H44/1000*Calculadora!$E$8*(1+Calculadora!$E$9)+I44*Calculadora!$E$10/1000*Calculadora!$E$11+J44)</f>
        <v/>
      </c>
      <c r="L44" s="114" t="str">
        <f aca="false">IF(G44="","",G44-K44)</f>
        <v/>
      </c>
      <c r="M44" s="115" t="str">
        <f aca="false">IF(OR(G44="",G44=0),"",L44/G44)</f>
        <v/>
      </c>
      <c r="N44" s="114" t="str">
        <f aca="false">IF(OR(G44="",I44="",I44=0),"",L44/I44)</f>
        <v/>
      </c>
      <c r="O44" s="61" t="str">
        <f aca="false">IF(N44="","",IF(N44&lt;Calculadora!$E$12,"Abaixo do piso",IF(N44&lt;Calculadora!$E$13,"Acima do piso","Na meta")))</f>
        <v/>
      </c>
      <c r="P44" s="89"/>
    </row>
    <row r="45" customFormat="false" ht="21.75" hidden="false" customHeight="true" outlineLevel="0" collapsed="false">
      <c r="B45" s="91"/>
      <c r="C45" s="89"/>
      <c r="D45" s="89"/>
      <c r="E45" s="89"/>
      <c r="F45" s="105"/>
      <c r="G45" s="104"/>
      <c r="H45" s="105"/>
      <c r="I45" s="90"/>
      <c r="J45" s="104"/>
      <c r="K45" s="113" t="str">
        <f aca="false">IF(G45="","",H45/1000*Calculadora!$E$8*(1+Calculadora!$E$9)+I45*Calculadora!$E$10/1000*Calculadora!$E$11+J45)</f>
        <v/>
      </c>
      <c r="L45" s="114" t="str">
        <f aca="false">IF(G45="","",G45-K45)</f>
        <v/>
      </c>
      <c r="M45" s="115" t="str">
        <f aca="false">IF(OR(G45="",G45=0),"",L45/G45)</f>
        <v/>
      </c>
      <c r="N45" s="114" t="str">
        <f aca="false">IF(OR(G45="",I45="",I45=0),"",L45/I45)</f>
        <v/>
      </c>
      <c r="O45" s="61" t="str">
        <f aca="false">IF(N45="","",IF(N45&lt;Calculadora!$E$12,"Abaixo do piso",IF(N45&lt;Calculadora!$E$13,"Acima do piso","Na meta")))</f>
        <v/>
      </c>
      <c r="P45" s="89"/>
    </row>
    <row r="46" customFormat="false" ht="21.75" hidden="false" customHeight="true" outlineLevel="0" collapsed="false">
      <c r="B46" s="91"/>
      <c r="C46" s="89"/>
      <c r="D46" s="89"/>
      <c r="E46" s="89"/>
      <c r="F46" s="105"/>
      <c r="G46" s="104"/>
      <c r="H46" s="105"/>
      <c r="I46" s="90"/>
      <c r="J46" s="104"/>
      <c r="K46" s="113" t="str">
        <f aca="false">IF(G46="","",H46/1000*Calculadora!$E$8*(1+Calculadora!$E$9)+I46*Calculadora!$E$10/1000*Calculadora!$E$11+J46)</f>
        <v/>
      </c>
      <c r="L46" s="114" t="str">
        <f aca="false">IF(G46="","",G46-K46)</f>
        <v/>
      </c>
      <c r="M46" s="115" t="str">
        <f aca="false">IF(OR(G46="",G46=0),"",L46/G46)</f>
        <v/>
      </c>
      <c r="N46" s="114" t="str">
        <f aca="false">IF(OR(G46="",I46="",I46=0),"",L46/I46)</f>
        <v/>
      </c>
      <c r="O46" s="61" t="str">
        <f aca="false">IF(N46="","",IF(N46&lt;Calculadora!$E$12,"Abaixo do piso",IF(N46&lt;Calculadora!$E$13,"Acima do piso","Na meta")))</f>
        <v/>
      </c>
      <c r="P46" s="89"/>
    </row>
    <row r="47" customFormat="false" ht="21.75" hidden="false" customHeight="true" outlineLevel="0" collapsed="false">
      <c r="B47" s="91"/>
      <c r="C47" s="89"/>
      <c r="D47" s="89"/>
      <c r="E47" s="89"/>
      <c r="F47" s="105"/>
      <c r="G47" s="104"/>
      <c r="H47" s="105"/>
      <c r="I47" s="90"/>
      <c r="J47" s="104"/>
      <c r="K47" s="113" t="str">
        <f aca="false">IF(G47="","",H47/1000*Calculadora!$E$8*(1+Calculadora!$E$9)+I47*Calculadora!$E$10/1000*Calculadora!$E$11+J47)</f>
        <v/>
      </c>
      <c r="L47" s="114" t="str">
        <f aca="false">IF(G47="","",G47-K47)</f>
        <v/>
      </c>
      <c r="M47" s="115" t="str">
        <f aca="false">IF(OR(G47="",G47=0),"",L47/G47)</f>
        <v/>
      </c>
      <c r="N47" s="114" t="str">
        <f aca="false">IF(OR(G47="",I47="",I47=0),"",L47/I47)</f>
        <v/>
      </c>
      <c r="O47" s="61" t="str">
        <f aca="false">IF(N47="","",IF(N47&lt;Calculadora!$E$12,"Abaixo do piso",IF(N47&lt;Calculadora!$E$13,"Acima do piso","Na meta")))</f>
        <v/>
      </c>
      <c r="P47" s="89"/>
    </row>
    <row r="48" customFormat="false" ht="21.75" hidden="false" customHeight="true" outlineLevel="0" collapsed="false">
      <c r="B48" s="91"/>
      <c r="C48" s="89"/>
      <c r="D48" s="89"/>
      <c r="E48" s="89"/>
      <c r="F48" s="105"/>
      <c r="G48" s="104"/>
      <c r="H48" s="105"/>
      <c r="I48" s="90"/>
      <c r="J48" s="104"/>
      <c r="K48" s="113" t="str">
        <f aca="false">IF(G48="","",H48/1000*Calculadora!$E$8*(1+Calculadora!$E$9)+I48*Calculadora!$E$10/1000*Calculadora!$E$11+J48)</f>
        <v/>
      </c>
      <c r="L48" s="114" t="str">
        <f aca="false">IF(G48="","",G48-K48)</f>
        <v/>
      </c>
      <c r="M48" s="115" t="str">
        <f aca="false">IF(OR(G48="",G48=0),"",L48/G48)</f>
        <v/>
      </c>
      <c r="N48" s="114" t="str">
        <f aca="false">IF(OR(G48="",I48="",I48=0),"",L48/I48)</f>
        <v/>
      </c>
      <c r="O48" s="61" t="str">
        <f aca="false">IF(N48="","",IF(N48&lt;Calculadora!$E$12,"Abaixo do piso",IF(N48&lt;Calculadora!$E$13,"Acima do piso","Na meta")))</f>
        <v/>
      </c>
      <c r="P48" s="89"/>
    </row>
    <row r="49" customFormat="false" ht="21.75" hidden="false" customHeight="true" outlineLevel="0" collapsed="false">
      <c r="B49" s="91"/>
      <c r="C49" s="89"/>
      <c r="D49" s="89"/>
      <c r="E49" s="89"/>
      <c r="F49" s="105"/>
      <c r="G49" s="104"/>
      <c r="H49" s="105"/>
      <c r="I49" s="90"/>
      <c r="J49" s="104"/>
      <c r="K49" s="113" t="str">
        <f aca="false">IF(G49="","",H49/1000*Calculadora!$E$8*(1+Calculadora!$E$9)+I49*Calculadora!$E$10/1000*Calculadora!$E$11+J49)</f>
        <v/>
      </c>
      <c r="L49" s="114" t="str">
        <f aca="false">IF(G49="","",G49-K49)</f>
        <v/>
      </c>
      <c r="M49" s="115" t="str">
        <f aca="false">IF(OR(G49="",G49=0),"",L49/G49)</f>
        <v/>
      </c>
      <c r="N49" s="114" t="str">
        <f aca="false">IF(OR(G49="",I49="",I49=0),"",L49/I49)</f>
        <v/>
      </c>
      <c r="O49" s="61" t="str">
        <f aca="false">IF(N49="","",IF(N49&lt;Calculadora!$E$12,"Abaixo do piso",IF(N49&lt;Calculadora!$E$13,"Acima do piso","Na meta")))</f>
        <v/>
      </c>
      <c r="P49" s="89"/>
    </row>
    <row r="50" customFormat="false" ht="21.75" hidden="false" customHeight="true" outlineLevel="0" collapsed="false">
      <c r="B50" s="91"/>
      <c r="C50" s="89"/>
      <c r="D50" s="89"/>
      <c r="E50" s="89"/>
      <c r="F50" s="105"/>
      <c r="G50" s="104"/>
      <c r="H50" s="105"/>
      <c r="I50" s="90"/>
      <c r="J50" s="104"/>
      <c r="K50" s="113" t="str">
        <f aca="false">IF(G50="","",H50/1000*Calculadora!$E$8*(1+Calculadora!$E$9)+I50*Calculadora!$E$10/1000*Calculadora!$E$11+J50)</f>
        <v/>
      </c>
      <c r="L50" s="114" t="str">
        <f aca="false">IF(G50="","",G50-K50)</f>
        <v/>
      </c>
      <c r="M50" s="115" t="str">
        <f aca="false">IF(OR(G50="",G50=0),"",L50/G50)</f>
        <v/>
      </c>
      <c r="N50" s="114" t="str">
        <f aca="false">IF(OR(G50="",I50="",I50=0),"",L50/I50)</f>
        <v/>
      </c>
      <c r="O50" s="61" t="str">
        <f aca="false">IF(N50="","",IF(N50&lt;Calculadora!$E$12,"Abaixo do piso",IF(N50&lt;Calculadora!$E$13,"Acima do piso","Na meta")))</f>
        <v/>
      </c>
      <c r="P50" s="89"/>
    </row>
    <row r="51" customFormat="false" ht="21.75" hidden="false" customHeight="true" outlineLevel="0" collapsed="false">
      <c r="B51" s="91"/>
      <c r="C51" s="89"/>
      <c r="D51" s="89"/>
      <c r="E51" s="89"/>
      <c r="F51" s="105"/>
      <c r="G51" s="104"/>
      <c r="H51" s="105"/>
      <c r="I51" s="90"/>
      <c r="J51" s="104"/>
      <c r="K51" s="113" t="str">
        <f aca="false">IF(G51="","",H51/1000*Calculadora!$E$8*(1+Calculadora!$E$9)+I51*Calculadora!$E$10/1000*Calculadora!$E$11+J51)</f>
        <v/>
      </c>
      <c r="L51" s="114" t="str">
        <f aca="false">IF(G51="","",G51-K51)</f>
        <v/>
      </c>
      <c r="M51" s="115" t="str">
        <f aca="false">IF(OR(G51="",G51=0),"",L51/G51)</f>
        <v/>
      </c>
      <c r="N51" s="114" t="str">
        <f aca="false">IF(OR(G51="",I51="",I51=0),"",L51/I51)</f>
        <v/>
      </c>
      <c r="O51" s="61" t="str">
        <f aca="false">IF(N51="","",IF(N51&lt;Calculadora!$E$12,"Abaixo do piso",IF(N51&lt;Calculadora!$E$13,"Acima do piso","Na meta")))</f>
        <v/>
      </c>
      <c r="P51" s="89"/>
    </row>
    <row r="52" customFormat="false" ht="21.75" hidden="false" customHeight="true" outlineLevel="0" collapsed="false">
      <c r="B52" s="91"/>
      <c r="C52" s="89"/>
      <c r="D52" s="89"/>
      <c r="E52" s="89"/>
      <c r="F52" s="105"/>
      <c r="G52" s="104"/>
      <c r="H52" s="105"/>
      <c r="I52" s="90"/>
      <c r="J52" s="104"/>
      <c r="K52" s="113" t="str">
        <f aca="false">IF(G52="","",H52/1000*Calculadora!$E$8*(1+Calculadora!$E$9)+I52*Calculadora!$E$10/1000*Calculadora!$E$11+J52)</f>
        <v/>
      </c>
      <c r="L52" s="114" t="str">
        <f aca="false">IF(G52="","",G52-K52)</f>
        <v/>
      </c>
      <c r="M52" s="115" t="str">
        <f aca="false">IF(OR(G52="",G52=0),"",L52/G52)</f>
        <v/>
      </c>
      <c r="N52" s="114" t="str">
        <f aca="false">IF(OR(G52="",I52="",I52=0),"",L52/I52)</f>
        <v/>
      </c>
      <c r="O52" s="61" t="str">
        <f aca="false">IF(N52="","",IF(N52&lt;Calculadora!$E$12,"Abaixo do piso",IF(N52&lt;Calculadora!$E$13,"Acima do piso","Na meta")))</f>
        <v/>
      </c>
      <c r="P52" s="89"/>
    </row>
    <row r="53" customFormat="false" ht="21.75" hidden="false" customHeight="true" outlineLevel="0" collapsed="false">
      <c r="B53" s="91"/>
      <c r="C53" s="89"/>
      <c r="D53" s="89"/>
      <c r="E53" s="89"/>
      <c r="F53" s="105"/>
      <c r="G53" s="104"/>
      <c r="H53" s="105"/>
      <c r="I53" s="90"/>
      <c r="J53" s="104"/>
      <c r="K53" s="113" t="str">
        <f aca="false">IF(G53="","",H53/1000*Calculadora!$E$8*(1+Calculadora!$E$9)+I53*Calculadora!$E$10/1000*Calculadora!$E$11+J53)</f>
        <v/>
      </c>
      <c r="L53" s="114" t="str">
        <f aca="false">IF(G53="","",G53-K53)</f>
        <v/>
      </c>
      <c r="M53" s="115" t="str">
        <f aca="false">IF(OR(G53="",G53=0),"",L53/G53)</f>
        <v/>
      </c>
      <c r="N53" s="114" t="str">
        <f aca="false">IF(OR(G53="",I53="",I53=0),"",L53/I53)</f>
        <v/>
      </c>
      <c r="O53" s="61" t="str">
        <f aca="false">IF(N53="","",IF(N53&lt;Calculadora!$E$12,"Abaixo do piso",IF(N53&lt;Calculadora!$E$13,"Acima do piso","Na meta")))</f>
        <v/>
      </c>
      <c r="P53" s="89"/>
    </row>
    <row r="54" customFormat="false" ht="21.75" hidden="false" customHeight="true" outlineLevel="0" collapsed="false">
      <c r="B54" s="91"/>
      <c r="C54" s="89"/>
      <c r="D54" s="89"/>
      <c r="E54" s="89"/>
      <c r="F54" s="105"/>
      <c r="G54" s="104"/>
      <c r="H54" s="105"/>
      <c r="I54" s="90"/>
      <c r="J54" s="104"/>
      <c r="K54" s="113" t="str">
        <f aca="false">IF(G54="","",H54/1000*Calculadora!$E$8*(1+Calculadora!$E$9)+I54*Calculadora!$E$10/1000*Calculadora!$E$11+J54)</f>
        <v/>
      </c>
      <c r="L54" s="114" t="str">
        <f aca="false">IF(G54="","",G54-K54)</f>
        <v/>
      </c>
      <c r="M54" s="115" t="str">
        <f aca="false">IF(OR(G54="",G54=0),"",L54/G54)</f>
        <v/>
      </c>
      <c r="N54" s="114" t="str">
        <f aca="false">IF(OR(G54="",I54="",I54=0),"",L54/I54)</f>
        <v/>
      </c>
      <c r="O54" s="61" t="str">
        <f aca="false">IF(N54="","",IF(N54&lt;Calculadora!$E$12,"Abaixo do piso",IF(N54&lt;Calculadora!$E$13,"Acima do piso","Na meta")))</f>
        <v/>
      </c>
      <c r="P54" s="89"/>
    </row>
    <row r="55" customFormat="false" ht="21.75" hidden="false" customHeight="true" outlineLevel="0" collapsed="false">
      <c r="B55" s="91"/>
      <c r="C55" s="89"/>
      <c r="D55" s="89"/>
      <c r="E55" s="89"/>
      <c r="F55" s="105"/>
      <c r="G55" s="104"/>
      <c r="H55" s="105"/>
      <c r="I55" s="90"/>
      <c r="J55" s="104"/>
      <c r="K55" s="113" t="str">
        <f aca="false">IF(G55="","",H55/1000*Calculadora!$E$8*(1+Calculadora!$E$9)+I55*Calculadora!$E$10/1000*Calculadora!$E$11+J55)</f>
        <v/>
      </c>
      <c r="L55" s="114" t="str">
        <f aca="false">IF(G55="","",G55-K55)</f>
        <v/>
      </c>
      <c r="M55" s="115" t="str">
        <f aca="false">IF(OR(G55="",G55=0),"",L55/G55)</f>
        <v/>
      </c>
      <c r="N55" s="114" t="str">
        <f aca="false">IF(OR(G55="",I55="",I55=0),"",L55/I55)</f>
        <v/>
      </c>
      <c r="O55" s="61" t="str">
        <f aca="false">IF(N55="","",IF(N55&lt;Calculadora!$E$12,"Abaixo do piso",IF(N55&lt;Calculadora!$E$13,"Acima do piso","Na meta")))</f>
        <v/>
      </c>
      <c r="P55" s="89"/>
    </row>
    <row r="56" customFormat="false" ht="21.75" hidden="false" customHeight="true" outlineLevel="0" collapsed="false">
      <c r="B56" s="91"/>
      <c r="C56" s="89"/>
      <c r="D56" s="89"/>
      <c r="E56" s="89"/>
      <c r="F56" s="105"/>
      <c r="G56" s="104"/>
      <c r="H56" s="105"/>
      <c r="I56" s="90"/>
      <c r="J56" s="104"/>
      <c r="K56" s="113" t="str">
        <f aca="false">IF(G56="","",H56/1000*Calculadora!$E$8*(1+Calculadora!$E$9)+I56*Calculadora!$E$10/1000*Calculadora!$E$11+J56)</f>
        <v/>
      </c>
      <c r="L56" s="114" t="str">
        <f aca="false">IF(G56="","",G56-K56)</f>
        <v/>
      </c>
      <c r="M56" s="115" t="str">
        <f aca="false">IF(OR(G56="",G56=0),"",L56/G56)</f>
        <v/>
      </c>
      <c r="N56" s="114" t="str">
        <f aca="false">IF(OR(G56="",I56="",I56=0),"",L56/I56)</f>
        <v/>
      </c>
      <c r="O56" s="61" t="str">
        <f aca="false">IF(N56="","",IF(N56&lt;Calculadora!$E$12,"Abaixo do piso",IF(N56&lt;Calculadora!$E$13,"Acima do piso","Na meta")))</f>
        <v/>
      </c>
      <c r="P56" s="89"/>
    </row>
    <row r="57" customFormat="false" ht="21.75" hidden="false" customHeight="true" outlineLevel="0" collapsed="false">
      <c r="B57" s="91"/>
      <c r="C57" s="89"/>
      <c r="D57" s="89"/>
      <c r="E57" s="89"/>
      <c r="F57" s="105"/>
      <c r="G57" s="104"/>
      <c r="H57" s="105"/>
      <c r="I57" s="90"/>
      <c r="J57" s="104"/>
      <c r="K57" s="113" t="str">
        <f aca="false">IF(G57="","",H57/1000*Calculadora!$E$8*(1+Calculadora!$E$9)+I57*Calculadora!$E$10/1000*Calculadora!$E$11+J57)</f>
        <v/>
      </c>
      <c r="L57" s="114" t="str">
        <f aca="false">IF(G57="","",G57-K57)</f>
        <v/>
      </c>
      <c r="M57" s="115" t="str">
        <f aca="false">IF(OR(G57="",G57=0),"",L57/G57)</f>
        <v/>
      </c>
      <c r="N57" s="114" t="str">
        <f aca="false">IF(OR(G57="",I57="",I57=0),"",L57/I57)</f>
        <v/>
      </c>
      <c r="O57" s="61" t="str">
        <f aca="false">IF(N57="","",IF(N57&lt;Calculadora!$E$12,"Abaixo do piso",IF(N57&lt;Calculadora!$E$13,"Acima do piso","Na meta")))</f>
        <v/>
      </c>
      <c r="P57" s="89"/>
    </row>
    <row r="58" customFormat="false" ht="21.75" hidden="false" customHeight="true" outlineLevel="0" collapsed="false">
      <c r="B58" s="91"/>
      <c r="C58" s="89"/>
      <c r="D58" s="89"/>
      <c r="E58" s="89"/>
      <c r="F58" s="105"/>
      <c r="G58" s="104"/>
      <c r="H58" s="105"/>
      <c r="I58" s="90"/>
      <c r="J58" s="104"/>
      <c r="K58" s="113" t="str">
        <f aca="false">IF(G58="","",H58/1000*Calculadora!$E$8*(1+Calculadora!$E$9)+I58*Calculadora!$E$10/1000*Calculadora!$E$11+J58)</f>
        <v/>
      </c>
      <c r="L58" s="114" t="str">
        <f aca="false">IF(G58="","",G58-K58)</f>
        <v/>
      </c>
      <c r="M58" s="115" t="str">
        <f aca="false">IF(OR(G58="",G58=0),"",L58/G58)</f>
        <v/>
      </c>
      <c r="N58" s="114" t="str">
        <f aca="false">IF(OR(G58="",I58="",I58=0),"",L58/I58)</f>
        <v/>
      </c>
      <c r="O58" s="61" t="str">
        <f aca="false">IF(N58="","",IF(N58&lt;Calculadora!$E$12,"Abaixo do piso",IF(N58&lt;Calculadora!$E$13,"Acima do piso","Na meta")))</f>
        <v/>
      </c>
      <c r="P58" s="89"/>
    </row>
    <row r="59" customFormat="false" ht="21.75" hidden="false" customHeight="true" outlineLevel="0" collapsed="false">
      <c r="B59" s="91"/>
      <c r="C59" s="89"/>
      <c r="D59" s="89"/>
      <c r="E59" s="89"/>
      <c r="F59" s="105"/>
      <c r="G59" s="104"/>
      <c r="H59" s="105"/>
      <c r="I59" s="90"/>
      <c r="J59" s="104"/>
      <c r="K59" s="113" t="str">
        <f aca="false">IF(G59="","",H59/1000*Calculadora!$E$8*(1+Calculadora!$E$9)+I59*Calculadora!$E$10/1000*Calculadora!$E$11+J59)</f>
        <v/>
      </c>
      <c r="L59" s="114" t="str">
        <f aca="false">IF(G59="","",G59-K59)</f>
        <v/>
      </c>
      <c r="M59" s="115" t="str">
        <f aca="false">IF(OR(G59="",G59=0),"",L59/G59)</f>
        <v/>
      </c>
      <c r="N59" s="114" t="str">
        <f aca="false">IF(OR(G59="",I59="",I59=0),"",L59/I59)</f>
        <v/>
      </c>
      <c r="O59" s="61" t="str">
        <f aca="false">IF(N59="","",IF(N59&lt;Calculadora!$E$12,"Abaixo do piso",IF(N59&lt;Calculadora!$E$13,"Acima do piso","Na meta")))</f>
        <v/>
      </c>
      <c r="P59" s="89"/>
    </row>
    <row r="60" customFormat="false" ht="21.75" hidden="false" customHeight="true" outlineLevel="0" collapsed="false">
      <c r="B60" s="91"/>
      <c r="C60" s="89"/>
      <c r="D60" s="89"/>
      <c r="E60" s="89"/>
      <c r="F60" s="105"/>
      <c r="G60" s="104"/>
      <c r="H60" s="105"/>
      <c r="I60" s="90"/>
      <c r="J60" s="104"/>
      <c r="K60" s="113" t="str">
        <f aca="false">IF(G60="","",H60/1000*Calculadora!$E$8*(1+Calculadora!$E$9)+I60*Calculadora!$E$10/1000*Calculadora!$E$11+J60)</f>
        <v/>
      </c>
      <c r="L60" s="114" t="str">
        <f aca="false">IF(G60="","",G60-K60)</f>
        <v/>
      </c>
      <c r="M60" s="115" t="str">
        <f aca="false">IF(OR(G60="",G60=0),"",L60/G60)</f>
        <v/>
      </c>
      <c r="N60" s="114" t="str">
        <f aca="false">IF(OR(G60="",I60="",I60=0),"",L60/I60)</f>
        <v/>
      </c>
      <c r="O60" s="61" t="str">
        <f aca="false">IF(N60="","",IF(N60&lt;Calculadora!$E$12,"Abaixo do piso",IF(N60&lt;Calculadora!$E$13,"Acima do piso","Na meta")))</f>
        <v/>
      </c>
      <c r="P60" s="89"/>
    </row>
    <row r="61" customFormat="false" ht="21.75" hidden="false" customHeight="true" outlineLevel="0" collapsed="false">
      <c r="B61" s="91"/>
      <c r="C61" s="89"/>
      <c r="D61" s="89"/>
      <c r="E61" s="89"/>
      <c r="F61" s="105"/>
      <c r="G61" s="104"/>
      <c r="H61" s="105"/>
      <c r="I61" s="90"/>
      <c r="J61" s="104"/>
      <c r="K61" s="113" t="str">
        <f aca="false">IF(G61="","",H61/1000*Calculadora!$E$8*(1+Calculadora!$E$9)+I61*Calculadora!$E$10/1000*Calculadora!$E$11+J61)</f>
        <v/>
      </c>
      <c r="L61" s="114" t="str">
        <f aca="false">IF(G61="","",G61-K61)</f>
        <v/>
      </c>
      <c r="M61" s="115" t="str">
        <f aca="false">IF(OR(G61="",G61=0),"",L61/G61)</f>
        <v/>
      </c>
      <c r="N61" s="114" t="str">
        <f aca="false">IF(OR(G61="",I61="",I61=0),"",L61/I61)</f>
        <v/>
      </c>
      <c r="O61" s="61" t="str">
        <f aca="false">IF(N61="","",IF(N61&lt;Calculadora!$E$12,"Abaixo do piso",IF(N61&lt;Calculadora!$E$13,"Acima do piso","Na meta")))</f>
        <v/>
      </c>
      <c r="P61" s="89"/>
    </row>
    <row r="62" customFormat="false" ht="21.75" hidden="false" customHeight="true" outlineLevel="0" collapsed="false">
      <c r="B62" s="91"/>
      <c r="C62" s="89"/>
      <c r="D62" s="89"/>
      <c r="E62" s="89"/>
      <c r="F62" s="105"/>
      <c r="G62" s="104"/>
      <c r="H62" s="105"/>
      <c r="I62" s="90"/>
      <c r="J62" s="104"/>
      <c r="K62" s="113" t="str">
        <f aca="false">IF(G62="","",H62/1000*Calculadora!$E$8*(1+Calculadora!$E$9)+I62*Calculadora!$E$10/1000*Calculadora!$E$11+J62)</f>
        <v/>
      </c>
      <c r="L62" s="114" t="str">
        <f aca="false">IF(G62="","",G62-K62)</f>
        <v/>
      </c>
      <c r="M62" s="115" t="str">
        <f aca="false">IF(OR(G62="",G62=0),"",L62/G62)</f>
        <v/>
      </c>
      <c r="N62" s="114" t="str">
        <f aca="false">IF(OR(G62="",I62="",I62=0),"",L62/I62)</f>
        <v/>
      </c>
      <c r="O62" s="61" t="str">
        <f aca="false">IF(N62="","",IF(N62&lt;Calculadora!$E$12,"Abaixo do piso",IF(N62&lt;Calculadora!$E$13,"Acima do piso","Na meta")))</f>
        <v/>
      </c>
      <c r="P62" s="89"/>
    </row>
    <row r="63" customFormat="false" ht="21.75" hidden="false" customHeight="true" outlineLevel="0" collapsed="false">
      <c r="B63" s="91"/>
      <c r="C63" s="89"/>
      <c r="D63" s="89"/>
      <c r="E63" s="89"/>
      <c r="F63" s="105"/>
      <c r="G63" s="104"/>
      <c r="H63" s="105"/>
      <c r="I63" s="90"/>
      <c r="J63" s="104"/>
      <c r="K63" s="113" t="str">
        <f aca="false">IF(G63="","",H63/1000*Calculadora!$E$8*(1+Calculadora!$E$9)+I63*Calculadora!$E$10/1000*Calculadora!$E$11+J63)</f>
        <v/>
      </c>
      <c r="L63" s="114" t="str">
        <f aca="false">IF(G63="","",G63-K63)</f>
        <v/>
      </c>
      <c r="M63" s="115" t="str">
        <f aca="false">IF(OR(G63="",G63=0),"",L63/G63)</f>
        <v/>
      </c>
      <c r="N63" s="114" t="str">
        <f aca="false">IF(OR(G63="",I63="",I63=0),"",L63/I63)</f>
        <v/>
      </c>
      <c r="O63" s="61" t="str">
        <f aca="false">IF(N63="","",IF(N63&lt;Calculadora!$E$12,"Abaixo do piso",IF(N63&lt;Calculadora!$E$13,"Acima do piso","Na meta")))</f>
        <v/>
      </c>
      <c r="P63" s="89"/>
    </row>
    <row r="64" customFormat="false" ht="21.75" hidden="false" customHeight="true" outlineLevel="0" collapsed="false">
      <c r="B64" s="91"/>
      <c r="C64" s="89"/>
      <c r="D64" s="89"/>
      <c r="E64" s="89"/>
      <c r="F64" s="105"/>
      <c r="G64" s="104"/>
      <c r="H64" s="105"/>
      <c r="I64" s="90"/>
      <c r="J64" s="104"/>
      <c r="K64" s="113" t="str">
        <f aca="false">IF(G64="","",H64/1000*Calculadora!$E$8*(1+Calculadora!$E$9)+I64*Calculadora!$E$10/1000*Calculadora!$E$11+J64)</f>
        <v/>
      </c>
      <c r="L64" s="114" t="str">
        <f aca="false">IF(G64="","",G64-K64)</f>
        <v/>
      </c>
      <c r="M64" s="115" t="str">
        <f aca="false">IF(OR(G64="",G64=0),"",L64/G64)</f>
        <v/>
      </c>
      <c r="N64" s="114" t="str">
        <f aca="false">IF(OR(G64="",I64="",I64=0),"",L64/I64)</f>
        <v/>
      </c>
      <c r="O64" s="61" t="str">
        <f aca="false">IF(N64="","",IF(N64&lt;Calculadora!$E$12,"Abaixo do piso",IF(N64&lt;Calculadora!$E$13,"Acima do piso","Na meta")))</f>
        <v/>
      </c>
      <c r="P64" s="89"/>
    </row>
    <row r="65" customFormat="false" ht="21.75" hidden="false" customHeight="true" outlineLevel="0" collapsed="false">
      <c r="B65" s="91"/>
      <c r="C65" s="89"/>
      <c r="D65" s="89"/>
      <c r="E65" s="89"/>
      <c r="F65" s="105"/>
      <c r="G65" s="104"/>
      <c r="H65" s="105"/>
      <c r="I65" s="90"/>
      <c r="J65" s="104"/>
      <c r="K65" s="113" t="str">
        <f aca="false">IF(G65="","",H65/1000*Calculadora!$E$8*(1+Calculadora!$E$9)+I65*Calculadora!$E$10/1000*Calculadora!$E$11+J65)</f>
        <v/>
      </c>
      <c r="L65" s="114" t="str">
        <f aca="false">IF(G65="","",G65-K65)</f>
        <v/>
      </c>
      <c r="M65" s="115" t="str">
        <f aca="false">IF(OR(G65="",G65=0),"",L65/G65)</f>
        <v/>
      </c>
      <c r="N65" s="114" t="str">
        <f aca="false">IF(OR(G65="",I65="",I65=0),"",L65/I65)</f>
        <v/>
      </c>
      <c r="O65" s="61" t="str">
        <f aca="false">IF(N65="","",IF(N65&lt;Calculadora!$E$12,"Abaixo do piso",IF(N65&lt;Calculadora!$E$13,"Acima do piso","Na meta")))</f>
        <v/>
      </c>
      <c r="P65" s="89"/>
    </row>
    <row r="66" customFormat="false" ht="21.75" hidden="false" customHeight="true" outlineLevel="0" collapsed="false">
      <c r="B66" s="91"/>
      <c r="C66" s="89"/>
      <c r="D66" s="89"/>
      <c r="E66" s="89"/>
      <c r="F66" s="105"/>
      <c r="G66" s="104"/>
      <c r="H66" s="105"/>
      <c r="I66" s="90"/>
      <c r="J66" s="104"/>
      <c r="K66" s="113" t="str">
        <f aca="false">IF(G66="","",H66/1000*Calculadora!$E$8*(1+Calculadora!$E$9)+I66*Calculadora!$E$10/1000*Calculadora!$E$11+J66)</f>
        <v/>
      </c>
      <c r="L66" s="114" t="str">
        <f aca="false">IF(G66="","",G66-K66)</f>
        <v/>
      </c>
      <c r="M66" s="115" t="str">
        <f aca="false">IF(OR(G66="",G66=0),"",L66/G66)</f>
        <v/>
      </c>
      <c r="N66" s="114" t="str">
        <f aca="false">IF(OR(G66="",I66="",I66=0),"",L66/I66)</f>
        <v/>
      </c>
      <c r="O66" s="61" t="str">
        <f aca="false">IF(N66="","",IF(N66&lt;Calculadora!$E$12,"Abaixo do piso",IF(N66&lt;Calculadora!$E$13,"Acima do piso","Na meta")))</f>
        <v/>
      </c>
      <c r="P66" s="89"/>
    </row>
    <row r="67" customFormat="false" ht="21.75" hidden="false" customHeight="true" outlineLevel="0" collapsed="false">
      <c r="B67" s="91"/>
      <c r="C67" s="89"/>
      <c r="D67" s="89"/>
      <c r="E67" s="89"/>
      <c r="F67" s="105"/>
      <c r="G67" s="104"/>
      <c r="H67" s="105"/>
      <c r="I67" s="90"/>
      <c r="J67" s="104"/>
      <c r="K67" s="113" t="str">
        <f aca="false">IF(G67="","",H67/1000*Calculadora!$E$8*(1+Calculadora!$E$9)+I67*Calculadora!$E$10/1000*Calculadora!$E$11+J67)</f>
        <v/>
      </c>
      <c r="L67" s="114" t="str">
        <f aca="false">IF(G67="","",G67-K67)</f>
        <v/>
      </c>
      <c r="M67" s="115" t="str">
        <f aca="false">IF(OR(G67="",G67=0),"",L67/G67)</f>
        <v/>
      </c>
      <c r="N67" s="114" t="str">
        <f aca="false">IF(OR(G67="",I67="",I67=0),"",L67/I67)</f>
        <v/>
      </c>
      <c r="O67" s="61" t="str">
        <f aca="false">IF(N67="","",IF(N67&lt;Calculadora!$E$12,"Abaixo do piso",IF(N67&lt;Calculadora!$E$13,"Acima do piso","Na meta")))</f>
        <v/>
      </c>
      <c r="P67" s="89"/>
    </row>
    <row r="68" customFormat="false" ht="21.75" hidden="false" customHeight="true" outlineLevel="0" collapsed="false">
      <c r="B68" s="91"/>
      <c r="C68" s="89"/>
      <c r="D68" s="89"/>
      <c r="E68" s="89"/>
      <c r="F68" s="105"/>
      <c r="G68" s="104"/>
      <c r="H68" s="105"/>
      <c r="I68" s="90"/>
      <c r="J68" s="104"/>
      <c r="K68" s="113" t="str">
        <f aca="false">IF(G68="","",H68/1000*Calculadora!$E$8*(1+Calculadora!$E$9)+I68*Calculadora!$E$10/1000*Calculadora!$E$11+J68)</f>
        <v/>
      </c>
      <c r="L68" s="114" t="str">
        <f aca="false">IF(G68="","",G68-K68)</f>
        <v/>
      </c>
      <c r="M68" s="115" t="str">
        <f aca="false">IF(OR(G68="",G68=0),"",L68/G68)</f>
        <v/>
      </c>
      <c r="N68" s="114" t="str">
        <f aca="false">IF(OR(G68="",I68="",I68=0),"",L68/I68)</f>
        <v/>
      </c>
      <c r="O68" s="61" t="str">
        <f aca="false">IF(N68="","",IF(N68&lt;Calculadora!$E$12,"Abaixo do piso",IF(N68&lt;Calculadora!$E$13,"Acima do piso","Na meta")))</f>
        <v/>
      </c>
      <c r="P68" s="89"/>
    </row>
    <row r="69" customFormat="false" ht="21.75" hidden="false" customHeight="true" outlineLevel="0" collapsed="false">
      <c r="B69" s="91"/>
      <c r="C69" s="89"/>
      <c r="D69" s="89"/>
      <c r="E69" s="89"/>
      <c r="F69" s="105"/>
      <c r="G69" s="104"/>
      <c r="H69" s="105"/>
      <c r="I69" s="90"/>
      <c r="J69" s="104"/>
      <c r="K69" s="113" t="str">
        <f aca="false">IF(G69="","",H69/1000*Calculadora!$E$8*(1+Calculadora!$E$9)+I69*Calculadora!$E$10/1000*Calculadora!$E$11+J69)</f>
        <v/>
      </c>
      <c r="L69" s="114" t="str">
        <f aca="false">IF(G69="","",G69-K69)</f>
        <v/>
      </c>
      <c r="M69" s="115" t="str">
        <f aca="false">IF(OR(G69="",G69=0),"",L69/G69)</f>
        <v/>
      </c>
      <c r="N69" s="114" t="str">
        <f aca="false">IF(OR(G69="",I69="",I69=0),"",L69/I69)</f>
        <v/>
      </c>
      <c r="O69" s="61" t="str">
        <f aca="false">IF(N69="","",IF(N69&lt;Calculadora!$E$12,"Abaixo do piso",IF(N69&lt;Calculadora!$E$13,"Acima do piso","Na meta")))</f>
        <v/>
      </c>
      <c r="P69" s="89"/>
    </row>
    <row r="70" customFormat="false" ht="21.75" hidden="false" customHeight="true" outlineLevel="0" collapsed="false">
      <c r="B70" s="91"/>
      <c r="C70" s="89"/>
      <c r="D70" s="89"/>
      <c r="E70" s="89"/>
      <c r="F70" s="105"/>
      <c r="G70" s="104"/>
      <c r="H70" s="105"/>
      <c r="I70" s="90"/>
      <c r="J70" s="104"/>
      <c r="K70" s="113" t="str">
        <f aca="false">IF(G70="","",H70/1000*Calculadora!$E$8*(1+Calculadora!$E$9)+I70*Calculadora!$E$10/1000*Calculadora!$E$11+J70)</f>
        <v/>
      </c>
      <c r="L70" s="114" t="str">
        <f aca="false">IF(G70="","",G70-K70)</f>
        <v/>
      </c>
      <c r="M70" s="115" t="str">
        <f aca="false">IF(OR(G70="",G70=0),"",L70/G70)</f>
        <v/>
      </c>
      <c r="N70" s="114" t="str">
        <f aca="false">IF(OR(G70="",I70="",I70=0),"",L70/I70)</f>
        <v/>
      </c>
      <c r="O70" s="61" t="str">
        <f aca="false">IF(N70="","",IF(N70&lt;Calculadora!$E$12,"Abaixo do piso",IF(N70&lt;Calculadora!$E$13,"Acima do piso","Na meta")))</f>
        <v/>
      </c>
      <c r="P70" s="89"/>
    </row>
    <row r="71" customFormat="false" ht="21.75" hidden="false" customHeight="true" outlineLevel="0" collapsed="false">
      <c r="B71" s="91"/>
      <c r="C71" s="89"/>
      <c r="D71" s="89"/>
      <c r="E71" s="89"/>
      <c r="F71" s="105"/>
      <c r="G71" s="104"/>
      <c r="H71" s="105"/>
      <c r="I71" s="90"/>
      <c r="J71" s="104"/>
      <c r="K71" s="113" t="str">
        <f aca="false">IF(G71="","",H71/1000*Calculadora!$E$8*(1+Calculadora!$E$9)+I71*Calculadora!$E$10/1000*Calculadora!$E$11+J71)</f>
        <v/>
      </c>
      <c r="L71" s="114" t="str">
        <f aca="false">IF(G71="","",G71-K71)</f>
        <v/>
      </c>
      <c r="M71" s="115" t="str">
        <f aca="false">IF(OR(G71="",G71=0),"",L71/G71)</f>
        <v/>
      </c>
      <c r="N71" s="114" t="str">
        <f aca="false">IF(OR(G71="",I71="",I71=0),"",L71/I71)</f>
        <v/>
      </c>
      <c r="O71" s="61" t="str">
        <f aca="false">IF(N71="","",IF(N71&lt;Calculadora!$E$12,"Abaixo do piso",IF(N71&lt;Calculadora!$E$13,"Acima do piso","Na meta")))</f>
        <v/>
      </c>
      <c r="P71" s="89"/>
    </row>
    <row r="72" customFormat="false" ht="21.75" hidden="false" customHeight="true" outlineLevel="0" collapsed="false">
      <c r="B72" s="91"/>
      <c r="C72" s="89"/>
      <c r="D72" s="89"/>
      <c r="E72" s="89"/>
      <c r="F72" s="105"/>
      <c r="G72" s="104"/>
      <c r="H72" s="105"/>
      <c r="I72" s="90"/>
      <c r="J72" s="104"/>
      <c r="K72" s="113" t="str">
        <f aca="false">IF(G72="","",H72/1000*Calculadora!$E$8*(1+Calculadora!$E$9)+I72*Calculadora!$E$10/1000*Calculadora!$E$11+J72)</f>
        <v/>
      </c>
      <c r="L72" s="114" t="str">
        <f aca="false">IF(G72="","",G72-K72)</f>
        <v/>
      </c>
      <c r="M72" s="115" t="str">
        <f aca="false">IF(OR(G72="",G72=0),"",L72/G72)</f>
        <v/>
      </c>
      <c r="N72" s="114" t="str">
        <f aca="false">IF(OR(G72="",I72="",I72=0),"",L72/I72)</f>
        <v/>
      </c>
      <c r="O72" s="61" t="str">
        <f aca="false">IF(N72="","",IF(N72&lt;Calculadora!$E$12,"Abaixo do piso",IF(N72&lt;Calculadora!$E$13,"Acima do piso","Na meta")))</f>
        <v/>
      </c>
      <c r="P72" s="89"/>
    </row>
    <row r="73" customFormat="false" ht="21.75" hidden="false" customHeight="true" outlineLevel="0" collapsed="false">
      <c r="B73" s="91"/>
      <c r="C73" s="89"/>
      <c r="D73" s="89"/>
      <c r="E73" s="89"/>
      <c r="F73" s="105"/>
      <c r="G73" s="104"/>
      <c r="H73" s="105"/>
      <c r="I73" s="90"/>
      <c r="J73" s="104"/>
      <c r="K73" s="113" t="str">
        <f aca="false">IF(G73="","",H73/1000*Calculadora!$E$8*(1+Calculadora!$E$9)+I73*Calculadora!$E$10/1000*Calculadora!$E$11+J73)</f>
        <v/>
      </c>
      <c r="L73" s="114" t="str">
        <f aca="false">IF(G73="","",G73-K73)</f>
        <v/>
      </c>
      <c r="M73" s="115" t="str">
        <f aca="false">IF(OR(G73="",G73=0),"",L73/G73)</f>
        <v/>
      </c>
      <c r="N73" s="114" t="str">
        <f aca="false">IF(OR(G73="",I73="",I73=0),"",L73/I73)</f>
        <v/>
      </c>
      <c r="O73" s="61" t="str">
        <f aca="false">IF(N73="","",IF(N73&lt;Calculadora!$E$12,"Abaixo do piso",IF(N73&lt;Calculadora!$E$13,"Acima do piso","Na meta")))</f>
        <v/>
      </c>
      <c r="P73" s="89"/>
    </row>
    <row r="74" customFormat="false" ht="21.75" hidden="false" customHeight="true" outlineLevel="0" collapsed="false">
      <c r="B74" s="91"/>
      <c r="C74" s="89"/>
      <c r="D74" s="89"/>
      <c r="E74" s="89"/>
      <c r="F74" s="105"/>
      <c r="G74" s="104"/>
      <c r="H74" s="105"/>
      <c r="I74" s="90"/>
      <c r="J74" s="104"/>
      <c r="K74" s="113" t="str">
        <f aca="false">IF(G74="","",H74/1000*Calculadora!$E$8*(1+Calculadora!$E$9)+I74*Calculadora!$E$10/1000*Calculadora!$E$11+J74)</f>
        <v/>
      </c>
      <c r="L74" s="114" t="str">
        <f aca="false">IF(G74="","",G74-K74)</f>
        <v/>
      </c>
      <c r="M74" s="115" t="str">
        <f aca="false">IF(OR(G74="",G74=0),"",L74/G74)</f>
        <v/>
      </c>
      <c r="N74" s="114" t="str">
        <f aca="false">IF(OR(G74="",I74="",I74=0),"",L74/I74)</f>
        <v/>
      </c>
      <c r="O74" s="61" t="str">
        <f aca="false">IF(N74="","",IF(N74&lt;Calculadora!$E$12,"Abaixo do piso",IF(N74&lt;Calculadora!$E$13,"Acima do piso","Na meta")))</f>
        <v/>
      </c>
      <c r="P74" s="89"/>
    </row>
    <row r="75" customFormat="false" ht="21.75" hidden="false" customHeight="true" outlineLevel="0" collapsed="false">
      <c r="B75" s="91"/>
      <c r="C75" s="89"/>
      <c r="D75" s="89"/>
      <c r="E75" s="89"/>
      <c r="F75" s="105"/>
      <c r="G75" s="104"/>
      <c r="H75" s="105"/>
      <c r="I75" s="90"/>
      <c r="J75" s="104"/>
      <c r="K75" s="113" t="str">
        <f aca="false">IF(G75="","",H75/1000*Calculadora!$E$8*(1+Calculadora!$E$9)+I75*Calculadora!$E$10/1000*Calculadora!$E$11+J75)</f>
        <v/>
      </c>
      <c r="L75" s="114" t="str">
        <f aca="false">IF(G75="","",G75-K75)</f>
        <v/>
      </c>
      <c r="M75" s="115" t="str">
        <f aca="false">IF(OR(G75="",G75=0),"",L75/G75)</f>
        <v/>
      </c>
      <c r="N75" s="114" t="str">
        <f aca="false">IF(OR(G75="",I75="",I75=0),"",L75/I75)</f>
        <v/>
      </c>
      <c r="O75" s="61" t="str">
        <f aca="false">IF(N75="","",IF(N75&lt;Calculadora!$E$12,"Abaixo do piso",IF(N75&lt;Calculadora!$E$13,"Acima do piso","Na meta")))</f>
        <v/>
      </c>
      <c r="P75" s="89"/>
    </row>
    <row r="76" customFormat="false" ht="21.75" hidden="false" customHeight="true" outlineLevel="0" collapsed="false">
      <c r="B76" s="91"/>
      <c r="C76" s="89"/>
      <c r="D76" s="89"/>
      <c r="E76" s="89"/>
      <c r="F76" s="105"/>
      <c r="G76" s="104"/>
      <c r="H76" s="105"/>
      <c r="I76" s="90"/>
      <c r="J76" s="104"/>
      <c r="K76" s="113" t="str">
        <f aca="false">IF(G76="","",H76/1000*Calculadora!$E$8*(1+Calculadora!$E$9)+I76*Calculadora!$E$10/1000*Calculadora!$E$11+J76)</f>
        <v/>
      </c>
      <c r="L76" s="114" t="str">
        <f aca="false">IF(G76="","",G76-K76)</f>
        <v/>
      </c>
      <c r="M76" s="115" t="str">
        <f aca="false">IF(OR(G76="",G76=0),"",L76/G76)</f>
        <v/>
      </c>
      <c r="N76" s="114" t="str">
        <f aca="false">IF(OR(G76="",I76="",I76=0),"",L76/I76)</f>
        <v/>
      </c>
      <c r="O76" s="61" t="str">
        <f aca="false">IF(N76="","",IF(N76&lt;Calculadora!$E$12,"Abaixo do piso",IF(N76&lt;Calculadora!$E$13,"Acima do piso","Na meta")))</f>
        <v/>
      </c>
      <c r="P76" s="89"/>
    </row>
    <row r="77" customFormat="false" ht="21.75" hidden="false" customHeight="true" outlineLevel="0" collapsed="false">
      <c r="B77" s="91"/>
      <c r="C77" s="89"/>
      <c r="D77" s="89"/>
      <c r="E77" s="89"/>
      <c r="F77" s="105"/>
      <c r="G77" s="104"/>
      <c r="H77" s="105"/>
      <c r="I77" s="90"/>
      <c r="J77" s="104"/>
      <c r="K77" s="113" t="str">
        <f aca="false">IF(G77="","",H77/1000*Calculadora!$E$8*(1+Calculadora!$E$9)+I77*Calculadora!$E$10/1000*Calculadora!$E$11+J77)</f>
        <v/>
      </c>
      <c r="L77" s="114" t="str">
        <f aca="false">IF(G77="","",G77-K77)</f>
        <v/>
      </c>
      <c r="M77" s="115" t="str">
        <f aca="false">IF(OR(G77="",G77=0),"",L77/G77)</f>
        <v/>
      </c>
      <c r="N77" s="114" t="str">
        <f aca="false">IF(OR(G77="",I77="",I77=0),"",L77/I77)</f>
        <v/>
      </c>
      <c r="O77" s="61" t="str">
        <f aca="false">IF(N77="","",IF(N77&lt;Calculadora!$E$12,"Abaixo do piso",IF(N77&lt;Calculadora!$E$13,"Acima do piso","Na meta")))</f>
        <v/>
      </c>
      <c r="P77" s="89"/>
    </row>
    <row r="78" customFormat="false" ht="21.75" hidden="false" customHeight="true" outlineLevel="0" collapsed="false">
      <c r="B78" s="91"/>
      <c r="C78" s="89"/>
      <c r="D78" s="89"/>
      <c r="E78" s="89"/>
      <c r="F78" s="105"/>
      <c r="G78" s="104"/>
      <c r="H78" s="105"/>
      <c r="I78" s="90"/>
      <c r="J78" s="104"/>
      <c r="K78" s="113" t="str">
        <f aca="false">IF(G78="","",H78/1000*Calculadora!$E$8*(1+Calculadora!$E$9)+I78*Calculadora!$E$10/1000*Calculadora!$E$11+J78)</f>
        <v/>
      </c>
      <c r="L78" s="114" t="str">
        <f aca="false">IF(G78="","",G78-K78)</f>
        <v/>
      </c>
      <c r="M78" s="115" t="str">
        <f aca="false">IF(OR(G78="",G78=0),"",L78/G78)</f>
        <v/>
      </c>
      <c r="N78" s="114" t="str">
        <f aca="false">IF(OR(G78="",I78="",I78=0),"",L78/I78)</f>
        <v/>
      </c>
      <c r="O78" s="61" t="str">
        <f aca="false">IF(N78="","",IF(N78&lt;Calculadora!$E$12,"Abaixo do piso",IF(N78&lt;Calculadora!$E$13,"Acima do piso","Na meta")))</f>
        <v/>
      </c>
      <c r="P78" s="89"/>
    </row>
    <row r="79" customFormat="false" ht="21.75" hidden="false" customHeight="true" outlineLevel="0" collapsed="false">
      <c r="B79" s="91"/>
      <c r="C79" s="89"/>
      <c r="D79" s="89"/>
      <c r="E79" s="89"/>
      <c r="F79" s="105"/>
      <c r="G79" s="104"/>
      <c r="H79" s="105"/>
      <c r="I79" s="90"/>
      <c r="J79" s="104"/>
      <c r="K79" s="113" t="str">
        <f aca="false">IF(G79="","",H79/1000*Calculadora!$E$8*(1+Calculadora!$E$9)+I79*Calculadora!$E$10/1000*Calculadora!$E$11+J79)</f>
        <v/>
      </c>
      <c r="L79" s="114" t="str">
        <f aca="false">IF(G79="","",G79-K79)</f>
        <v/>
      </c>
      <c r="M79" s="115" t="str">
        <f aca="false">IF(OR(G79="",G79=0),"",L79/G79)</f>
        <v/>
      </c>
      <c r="N79" s="114" t="str">
        <f aca="false">IF(OR(G79="",I79="",I79=0),"",L79/I79)</f>
        <v/>
      </c>
      <c r="O79" s="61" t="str">
        <f aca="false">IF(N79="","",IF(N79&lt;Calculadora!$E$12,"Abaixo do piso",IF(N79&lt;Calculadora!$E$13,"Acima do piso","Na meta")))</f>
        <v/>
      </c>
      <c r="P79" s="89"/>
    </row>
    <row r="80" customFormat="false" ht="21.75" hidden="false" customHeight="true" outlineLevel="0" collapsed="false">
      <c r="B80" s="91"/>
      <c r="C80" s="89"/>
      <c r="D80" s="89"/>
      <c r="E80" s="89"/>
      <c r="F80" s="105"/>
      <c r="G80" s="104"/>
      <c r="H80" s="105"/>
      <c r="I80" s="90"/>
      <c r="J80" s="104"/>
      <c r="K80" s="113" t="str">
        <f aca="false">IF(G80="","",H80/1000*Calculadora!$E$8*(1+Calculadora!$E$9)+I80*Calculadora!$E$10/1000*Calculadora!$E$11+J80)</f>
        <v/>
      </c>
      <c r="L80" s="114" t="str">
        <f aca="false">IF(G80="","",G80-K80)</f>
        <v/>
      </c>
      <c r="M80" s="115" t="str">
        <f aca="false">IF(OR(G80="",G80=0),"",L80/G80)</f>
        <v/>
      </c>
      <c r="N80" s="114" t="str">
        <f aca="false">IF(OR(G80="",I80="",I80=0),"",L80/I80)</f>
        <v/>
      </c>
      <c r="O80" s="61" t="str">
        <f aca="false">IF(N80="","",IF(N80&lt;Calculadora!$E$12,"Abaixo do piso",IF(N80&lt;Calculadora!$E$13,"Acima do piso","Na meta")))</f>
        <v/>
      </c>
      <c r="P80" s="89"/>
    </row>
    <row r="81" customFormat="false" ht="21.75" hidden="false" customHeight="true" outlineLevel="0" collapsed="false">
      <c r="B81" s="91"/>
      <c r="C81" s="89"/>
      <c r="D81" s="89"/>
      <c r="E81" s="89"/>
      <c r="F81" s="105"/>
      <c r="G81" s="104"/>
      <c r="H81" s="105"/>
      <c r="I81" s="90"/>
      <c r="J81" s="104"/>
      <c r="K81" s="113" t="str">
        <f aca="false">IF(G81="","",H81/1000*Calculadora!$E$8*(1+Calculadora!$E$9)+I81*Calculadora!$E$10/1000*Calculadora!$E$11+J81)</f>
        <v/>
      </c>
      <c r="L81" s="114" t="str">
        <f aca="false">IF(G81="","",G81-K81)</f>
        <v/>
      </c>
      <c r="M81" s="115" t="str">
        <f aca="false">IF(OR(G81="",G81=0),"",L81/G81)</f>
        <v/>
      </c>
      <c r="N81" s="114" t="str">
        <f aca="false">IF(OR(G81="",I81="",I81=0),"",L81/I81)</f>
        <v/>
      </c>
      <c r="O81" s="61" t="str">
        <f aca="false">IF(N81="","",IF(N81&lt;Calculadora!$E$12,"Abaixo do piso",IF(N81&lt;Calculadora!$E$13,"Acima do piso","Na meta")))</f>
        <v/>
      </c>
      <c r="P81" s="89"/>
    </row>
    <row r="82" customFormat="false" ht="21.75" hidden="false" customHeight="true" outlineLevel="0" collapsed="false">
      <c r="B82" s="91"/>
      <c r="C82" s="89"/>
      <c r="D82" s="89"/>
      <c r="E82" s="89"/>
      <c r="F82" s="105"/>
      <c r="G82" s="104"/>
      <c r="H82" s="105"/>
      <c r="I82" s="90"/>
      <c r="J82" s="104"/>
      <c r="K82" s="113" t="str">
        <f aca="false">IF(G82="","",H82/1000*Calculadora!$E$8*(1+Calculadora!$E$9)+I82*Calculadora!$E$10/1000*Calculadora!$E$11+J82)</f>
        <v/>
      </c>
      <c r="L82" s="114" t="str">
        <f aca="false">IF(G82="","",G82-K82)</f>
        <v/>
      </c>
      <c r="M82" s="115" t="str">
        <f aca="false">IF(OR(G82="",G82=0),"",L82/G82)</f>
        <v/>
      </c>
      <c r="N82" s="114" t="str">
        <f aca="false">IF(OR(G82="",I82="",I82=0),"",L82/I82)</f>
        <v/>
      </c>
      <c r="O82" s="61" t="str">
        <f aca="false">IF(N82="","",IF(N82&lt;Calculadora!$E$12,"Abaixo do piso",IF(N82&lt;Calculadora!$E$13,"Acima do piso","Na meta")))</f>
        <v/>
      </c>
      <c r="P82" s="89"/>
    </row>
    <row r="83" customFormat="false" ht="21.75" hidden="false" customHeight="true" outlineLevel="0" collapsed="false">
      <c r="B83" s="91"/>
      <c r="C83" s="89"/>
      <c r="D83" s="89"/>
      <c r="E83" s="89"/>
      <c r="F83" s="105"/>
      <c r="G83" s="104"/>
      <c r="H83" s="105"/>
      <c r="I83" s="90"/>
      <c r="J83" s="104"/>
      <c r="K83" s="113" t="str">
        <f aca="false">IF(G83="","",H83/1000*Calculadora!$E$8*(1+Calculadora!$E$9)+I83*Calculadora!$E$10/1000*Calculadora!$E$11+J83)</f>
        <v/>
      </c>
      <c r="L83" s="114" t="str">
        <f aca="false">IF(G83="","",G83-K83)</f>
        <v/>
      </c>
      <c r="M83" s="115" t="str">
        <f aca="false">IF(OR(G83="",G83=0),"",L83/G83)</f>
        <v/>
      </c>
      <c r="N83" s="114" t="str">
        <f aca="false">IF(OR(G83="",I83="",I83=0),"",L83/I83)</f>
        <v/>
      </c>
      <c r="O83" s="61" t="str">
        <f aca="false">IF(N83="","",IF(N83&lt;Calculadora!$E$12,"Abaixo do piso",IF(N83&lt;Calculadora!$E$13,"Acima do piso","Na meta")))</f>
        <v/>
      </c>
      <c r="P83" s="89"/>
    </row>
    <row r="84" customFormat="false" ht="21.75" hidden="false" customHeight="true" outlineLevel="0" collapsed="false">
      <c r="B84" s="91"/>
      <c r="C84" s="89"/>
      <c r="D84" s="89"/>
      <c r="E84" s="89"/>
      <c r="F84" s="105"/>
      <c r="G84" s="104"/>
      <c r="H84" s="105"/>
      <c r="I84" s="90"/>
      <c r="J84" s="104"/>
      <c r="K84" s="113" t="str">
        <f aca="false">IF(G84="","",H84/1000*Calculadora!$E$8*(1+Calculadora!$E$9)+I84*Calculadora!$E$10/1000*Calculadora!$E$11+J84)</f>
        <v/>
      </c>
      <c r="L84" s="114" t="str">
        <f aca="false">IF(G84="","",G84-K84)</f>
        <v/>
      </c>
      <c r="M84" s="115" t="str">
        <f aca="false">IF(OR(G84="",G84=0),"",L84/G84)</f>
        <v/>
      </c>
      <c r="N84" s="114" t="str">
        <f aca="false">IF(OR(G84="",I84="",I84=0),"",L84/I84)</f>
        <v/>
      </c>
      <c r="O84" s="61" t="str">
        <f aca="false">IF(N84="","",IF(N84&lt;Calculadora!$E$12,"Abaixo do piso",IF(N84&lt;Calculadora!$E$13,"Acima do piso","Na meta")))</f>
        <v/>
      </c>
      <c r="P84" s="89"/>
    </row>
    <row r="85" customFormat="false" ht="21.75" hidden="false" customHeight="true" outlineLevel="0" collapsed="false">
      <c r="B85" s="91"/>
      <c r="C85" s="89"/>
      <c r="D85" s="89"/>
      <c r="E85" s="89"/>
      <c r="F85" s="105"/>
      <c r="G85" s="104"/>
      <c r="H85" s="105"/>
      <c r="I85" s="90"/>
      <c r="J85" s="104"/>
      <c r="K85" s="113" t="str">
        <f aca="false">IF(G85="","",H85/1000*Calculadora!$E$8*(1+Calculadora!$E$9)+I85*Calculadora!$E$10/1000*Calculadora!$E$11+J85)</f>
        <v/>
      </c>
      <c r="L85" s="114" t="str">
        <f aca="false">IF(G85="","",G85-K85)</f>
        <v/>
      </c>
      <c r="M85" s="115" t="str">
        <f aca="false">IF(OR(G85="",G85=0),"",L85/G85)</f>
        <v/>
      </c>
      <c r="N85" s="114" t="str">
        <f aca="false">IF(OR(G85="",I85="",I85=0),"",L85/I85)</f>
        <v/>
      </c>
      <c r="O85" s="61" t="str">
        <f aca="false">IF(N85="","",IF(N85&lt;Calculadora!$E$12,"Abaixo do piso",IF(N85&lt;Calculadora!$E$13,"Acima do piso","Na meta")))</f>
        <v/>
      </c>
      <c r="P85" s="89"/>
    </row>
    <row r="86" customFormat="false" ht="21.75" hidden="false" customHeight="true" outlineLevel="0" collapsed="false">
      <c r="B86" s="91"/>
      <c r="C86" s="89"/>
      <c r="D86" s="89"/>
      <c r="E86" s="89"/>
      <c r="F86" s="105"/>
      <c r="G86" s="104"/>
      <c r="H86" s="105"/>
      <c r="I86" s="90"/>
      <c r="J86" s="104"/>
      <c r="K86" s="113" t="str">
        <f aca="false">IF(G86="","",H86/1000*Calculadora!$E$8*(1+Calculadora!$E$9)+I86*Calculadora!$E$10/1000*Calculadora!$E$11+J86)</f>
        <v/>
      </c>
      <c r="L86" s="114" t="str">
        <f aca="false">IF(G86="","",G86-K86)</f>
        <v/>
      </c>
      <c r="M86" s="115" t="str">
        <f aca="false">IF(OR(G86="",G86=0),"",L86/G86)</f>
        <v/>
      </c>
      <c r="N86" s="114" t="str">
        <f aca="false">IF(OR(G86="",I86="",I86=0),"",L86/I86)</f>
        <v/>
      </c>
      <c r="O86" s="61" t="str">
        <f aca="false">IF(N86="","",IF(N86&lt;Calculadora!$E$12,"Abaixo do piso",IF(N86&lt;Calculadora!$E$13,"Acima do piso","Na meta")))</f>
        <v/>
      </c>
      <c r="P86" s="89"/>
    </row>
    <row r="87" customFormat="false" ht="21.75" hidden="false" customHeight="true" outlineLevel="0" collapsed="false">
      <c r="B87" s="91"/>
      <c r="C87" s="89"/>
      <c r="D87" s="89"/>
      <c r="E87" s="89"/>
      <c r="F87" s="105"/>
      <c r="G87" s="104"/>
      <c r="H87" s="105"/>
      <c r="I87" s="90"/>
      <c r="J87" s="104"/>
      <c r="K87" s="113" t="str">
        <f aca="false">IF(G87="","",H87/1000*Calculadora!$E$8*(1+Calculadora!$E$9)+I87*Calculadora!$E$10/1000*Calculadora!$E$11+J87)</f>
        <v/>
      </c>
      <c r="L87" s="114" t="str">
        <f aca="false">IF(G87="","",G87-K87)</f>
        <v/>
      </c>
      <c r="M87" s="115" t="str">
        <f aca="false">IF(OR(G87="",G87=0),"",L87/G87)</f>
        <v/>
      </c>
      <c r="N87" s="114" t="str">
        <f aca="false">IF(OR(G87="",I87="",I87=0),"",L87/I87)</f>
        <v/>
      </c>
      <c r="O87" s="61" t="str">
        <f aca="false">IF(N87="","",IF(N87&lt;Calculadora!$E$12,"Abaixo do piso",IF(N87&lt;Calculadora!$E$13,"Acima do piso","Na meta")))</f>
        <v/>
      </c>
      <c r="P87" s="89"/>
    </row>
    <row r="88" customFormat="false" ht="21.75" hidden="false" customHeight="true" outlineLevel="0" collapsed="false">
      <c r="B88" s="91"/>
      <c r="C88" s="89"/>
      <c r="D88" s="89"/>
      <c r="E88" s="89"/>
      <c r="F88" s="105"/>
      <c r="G88" s="104"/>
      <c r="H88" s="105"/>
      <c r="I88" s="90"/>
      <c r="J88" s="104"/>
      <c r="K88" s="113" t="str">
        <f aca="false">IF(G88="","",H88/1000*Calculadora!$E$8*(1+Calculadora!$E$9)+I88*Calculadora!$E$10/1000*Calculadora!$E$11+J88)</f>
        <v/>
      </c>
      <c r="L88" s="114" t="str">
        <f aca="false">IF(G88="","",G88-K88)</f>
        <v/>
      </c>
      <c r="M88" s="115" t="str">
        <f aca="false">IF(OR(G88="",G88=0),"",L88/G88)</f>
        <v/>
      </c>
      <c r="N88" s="114" t="str">
        <f aca="false">IF(OR(G88="",I88="",I88=0),"",L88/I88)</f>
        <v/>
      </c>
      <c r="O88" s="61" t="str">
        <f aca="false">IF(N88="","",IF(N88&lt;Calculadora!$E$12,"Abaixo do piso",IF(N88&lt;Calculadora!$E$13,"Acima do piso","Na meta")))</f>
        <v/>
      </c>
      <c r="P88" s="89"/>
    </row>
    <row r="89" customFormat="false" ht="21.75" hidden="false" customHeight="true" outlineLevel="0" collapsed="false">
      <c r="B89" s="91"/>
      <c r="C89" s="89"/>
      <c r="D89" s="89"/>
      <c r="E89" s="89"/>
      <c r="F89" s="105"/>
      <c r="G89" s="104"/>
      <c r="H89" s="105"/>
      <c r="I89" s="90"/>
      <c r="J89" s="104"/>
      <c r="K89" s="113" t="str">
        <f aca="false">IF(G89="","",H89/1000*Calculadora!$E$8*(1+Calculadora!$E$9)+I89*Calculadora!$E$10/1000*Calculadora!$E$11+J89)</f>
        <v/>
      </c>
      <c r="L89" s="114" t="str">
        <f aca="false">IF(G89="","",G89-K89)</f>
        <v/>
      </c>
      <c r="M89" s="115" t="str">
        <f aca="false">IF(OR(G89="",G89=0),"",L89/G89)</f>
        <v/>
      </c>
      <c r="N89" s="114" t="str">
        <f aca="false">IF(OR(G89="",I89="",I89=0),"",L89/I89)</f>
        <v/>
      </c>
      <c r="O89" s="61" t="str">
        <f aca="false">IF(N89="","",IF(N89&lt;Calculadora!$E$12,"Abaixo do piso",IF(N89&lt;Calculadora!$E$13,"Acima do piso","Na meta")))</f>
        <v/>
      </c>
      <c r="P89" s="89"/>
    </row>
    <row r="90" customFormat="false" ht="21.75" hidden="false" customHeight="true" outlineLevel="0" collapsed="false">
      <c r="B90" s="91"/>
      <c r="C90" s="89"/>
      <c r="D90" s="89"/>
      <c r="E90" s="89"/>
      <c r="F90" s="105"/>
      <c r="G90" s="104"/>
      <c r="H90" s="105"/>
      <c r="I90" s="90"/>
      <c r="J90" s="104"/>
      <c r="K90" s="113" t="str">
        <f aca="false">IF(G90="","",H90/1000*Calculadora!$E$8*(1+Calculadora!$E$9)+I90*Calculadora!$E$10/1000*Calculadora!$E$11+J90)</f>
        <v/>
      </c>
      <c r="L90" s="114" t="str">
        <f aca="false">IF(G90="","",G90-K90)</f>
        <v/>
      </c>
      <c r="M90" s="115" t="str">
        <f aca="false">IF(OR(G90="",G90=0),"",L90/G90)</f>
        <v/>
      </c>
      <c r="N90" s="114" t="str">
        <f aca="false">IF(OR(G90="",I90="",I90=0),"",L90/I90)</f>
        <v/>
      </c>
      <c r="O90" s="61" t="str">
        <f aca="false">IF(N90="","",IF(N90&lt;Calculadora!$E$12,"Abaixo do piso",IF(N90&lt;Calculadora!$E$13,"Acima do piso","Na meta")))</f>
        <v/>
      </c>
      <c r="P90" s="89"/>
    </row>
    <row r="91" customFormat="false" ht="21.75" hidden="false" customHeight="true" outlineLevel="0" collapsed="false">
      <c r="B91" s="91"/>
      <c r="C91" s="89"/>
      <c r="D91" s="89"/>
      <c r="E91" s="89"/>
      <c r="F91" s="105"/>
      <c r="G91" s="104"/>
      <c r="H91" s="105"/>
      <c r="I91" s="90"/>
      <c r="J91" s="104"/>
      <c r="K91" s="113" t="str">
        <f aca="false">IF(G91="","",H91/1000*Calculadora!$E$8*(1+Calculadora!$E$9)+I91*Calculadora!$E$10/1000*Calculadora!$E$11+J91)</f>
        <v/>
      </c>
      <c r="L91" s="114" t="str">
        <f aca="false">IF(G91="","",G91-K91)</f>
        <v/>
      </c>
      <c r="M91" s="115" t="str">
        <f aca="false">IF(OR(G91="",G91=0),"",L91/G91)</f>
        <v/>
      </c>
      <c r="N91" s="114" t="str">
        <f aca="false">IF(OR(G91="",I91="",I91=0),"",L91/I91)</f>
        <v/>
      </c>
      <c r="O91" s="61" t="str">
        <f aca="false">IF(N91="","",IF(N91&lt;Calculadora!$E$12,"Abaixo do piso",IF(N91&lt;Calculadora!$E$13,"Acima do piso","Na meta")))</f>
        <v/>
      </c>
      <c r="P91" s="89"/>
    </row>
    <row r="92" customFormat="false" ht="21.75" hidden="false" customHeight="true" outlineLevel="0" collapsed="false">
      <c r="B92" s="91"/>
      <c r="C92" s="89"/>
      <c r="D92" s="89"/>
      <c r="E92" s="89"/>
      <c r="F92" s="105"/>
      <c r="G92" s="104"/>
      <c r="H92" s="105"/>
      <c r="I92" s="90"/>
      <c r="J92" s="104"/>
      <c r="K92" s="113" t="str">
        <f aca="false">IF(G92="","",H92/1000*Calculadora!$E$8*(1+Calculadora!$E$9)+I92*Calculadora!$E$10/1000*Calculadora!$E$11+J92)</f>
        <v/>
      </c>
      <c r="L92" s="114" t="str">
        <f aca="false">IF(G92="","",G92-K92)</f>
        <v/>
      </c>
      <c r="M92" s="115" t="str">
        <f aca="false">IF(OR(G92="",G92=0),"",L92/G92)</f>
        <v/>
      </c>
      <c r="N92" s="114" t="str">
        <f aca="false">IF(OR(G92="",I92="",I92=0),"",L92/I92)</f>
        <v/>
      </c>
      <c r="O92" s="61" t="str">
        <f aca="false">IF(N92="","",IF(N92&lt;Calculadora!$E$12,"Abaixo do piso",IF(N92&lt;Calculadora!$E$13,"Acima do piso","Na meta")))</f>
        <v/>
      </c>
      <c r="P92" s="89"/>
    </row>
    <row r="93" customFormat="false" ht="21.75" hidden="false" customHeight="true" outlineLevel="0" collapsed="false">
      <c r="B93" s="91"/>
      <c r="C93" s="89"/>
      <c r="D93" s="89"/>
      <c r="E93" s="89"/>
      <c r="F93" s="105"/>
      <c r="G93" s="104"/>
      <c r="H93" s="105"/>
      <c r="I93" s="90"/>
      <c r="J93" s="104"/>
      <c r="K93" s="113" t="str">
        <f aca="false">IF(G93="","",H93/1000*Calculadora!$E$8*(1+Calculadora!$E$9)+I93*Calculadora!$E$10/1000*Calculadora!$E$11+J93)</f>
        <v/>
      </c>
      <c r="L93" s="114" t="str">
        <f aca="false">IF(G93="","",G93-K93)</f>
        <v/>
      </c>
      <c r="M93" s="115" t="str">
        <f aca="false">IF(OR(G93="",G93=0),"",L93/G93)</f>
        <v/>
      </c>
      <c r="N93" s="114" t="str">
        <f aca="false">IF(OR(G93="",I93="",I93=0),"",L93/I93)</f>
        <v/>
      </c>
      <c r="O93" s="61" t="str">
        <f aca="false">IF(N93="","",IF(N93&lt;Calculadora!$E$12,"Abaixo do piso",IF(N93&lt;Calculadora!$E$13,"Acima do piso","Na meta")))</f>
        <v/>
      </c>
      <c r="P93" s="89"/>
    </row>
    <row r="94" customFormat="false" ht="21.75" hidden="false" customHeight="true" outlineLevel="0" collapsed="false">
      <c r="B94" s="91"/>
      <c r="C94" s="89"/>
      <c r="D94" s="89"/>
      <c r="E94" s="89"/>
      <c r="F94" s="105"/>
      <c r="G94" s="104"/>
      <c r="H94" s="105"/>
      <c r="I94" s="90"/>
      <c r="J94" s="104"/>
      <c r="K94" s="113" t="str">
        <f aca="false">IF(G94="","",H94/1000*Calculadora!$E$8*(1+Calculadora!$E$9)+I94*Calculadora!$E$10/1000*Calculadora!$E$11+J94)</f>
        <v/>
      </c>
      <c r="L94" s="114" t="str">
        <f aca="false">IF(G94="","",G94-K94)</f>
        <v/>
      </c>
      <c r="M94" s="115" t="str">
        <f aca="false">IF(OR(G94="",G94=0),"",L94/G94)</f>
        <v/>
      </c>
      <c r="N94" s="114" t="str">
        <f aca="false">IF(OR(G94="",I94="",I94=0),"",L94/I94)</f>
        <v/>
      </c>
      <c r="O94" s="61" t="str">
        <f aca="false">IF(N94="","",IF(N94&lt;Calculadora!$E$12,"Abaixo do piso",IF(N94&lt;Calculadora!$E$13,"Acima do piso","Na meta")))</f>
        <v/>
      </c>
      <c r="P94" s="89"/>
    </row>
    <row r="95" customFormat="false" ht="21.75" hidden="false" customHeight="true" outlineLevel="0" collapsed="false">
      <c r="B95" s="91"/>
      <c r="C95" s="89"/>
      <c r="D95" s="89"/>
      <c r="E95" s="89"/>
      <c r="F95" s="105"/>
      <c r="G95" s="104"/>
      <c r="H95" s="105"/>
      <c r="I95" s="90"/>
      <c r="J95" s="104"/>
      <c r="K95" s="113" t="str">
        <f aca="false">IF(G95="","",H95/1000*Calculadora!$E$8*(1+Calculadora!$E$9)+I95*Calculadora!$E$10/1000*Calculadora!$E$11+J95)</f>
        <v/>
      </c>
      <c r="L95" s="114" t="str">
        <f aca="false">IF(G95="","",G95-K95)</f>
        <v/>
      </c>
      <c r="M95" s="115" t="str">
        <f aca="false">IF(OR(G95="",G95=0),"",L95/G95)</f>
        <v/>
      </c>
      <c r="N95" s="114" t="str">
        <f aca="false">IF(OR(G95="",I95="",I95=0),"",L95/I95)</f>
        <v/>
      </c>
      <c r="O95" s="61" t="str">
        <f aca="false">IF(N95="","",IF(N95&lt;Calculadora!$E$12,"Abaixo do piso",IF(N95&lt;Calculadora!$E$13,"Acima do piso","Na meta")))</f>
        <v/>
      </c>
      <c r="P95" s="89"/>
    </row>
    <row r="96" customFormat="false" ht="21.75" hidden="false" customHeight="true" outlineLevel="0" collapsed="false">
      <c r="B96" s="91"/>
      <c r="C96" s="89"/>
      <c r="D96" s="89"/>
      <c r="E96" s="89"/>
      <c r="F96" s="105"/>
      <c r="G96" s="104"/>
      <c r="H96" s="105"/>
      <c r="I96" s="90"/>
      <c r="J96" s="104"/>
      <c r="K96" s="113" t="str">
        <f aca="false">IF(G96="","",H96/1000*Calculadora!$E$8*(1+Calculadora!$E$9)+I96*Calculadora!$E$10/1000*Calculadora!$E$11+J96)</f>
        <v/>
      </c>
      <c r="L96" s="114" t="str">
        <f aca="false">IF(G96="","",G96-K96)</f>
        <v/>
      </c>
      <c r="M96" s="115" t="str">
        <f aca="false">IF(OR(G96="",G96=0),"",L96/G96)</f>
        <v/>
      </c>
      <c r="N96" s="114" t="str">
        <f aca="false">IF(OR(G96="",I96="",I96=0),"",L96/I96)</f>
        <v/>
      </c>
      <c r="O96" s="61" t="str">
        <f aca="false">IF(N96="","",IF(N96&lt;Calculadora!$E$12,"Abaixo do piso",IF(N96&lt;Calculadora!$E$13,"Acima do piso","Na meta")))</f>
        <v/>
      </c>
      <c r="P96" s="89"/>
    </row>
    <row r="97" customFormat="false" ht="21.75" hidden="false" customHeight="true" outlineLevel="0" collapsed="false">
      <c r="B97" s="91"/>
      <c r="C97" s="89"/>
      <c r="D97" s="89"/>
      <c r="E97" s="89"/>
      <c r="F97" s="105"/>
      <c r="G97" s="104"/>
      <c r="H97" s="105"/>
      <c r="I97" s="90"/>
      <c r="J97" s="104"/>
      <c r="K97" s="113" t="str">
        <f aca="false">IF(G97="","",H97/1000*Calculadora!$E$8*(1+Calculadora!$E$9)+I97*Calculadora!$E$10/1000*Calculadora!$E$11+J97)</f>
        <v/>
      </c>
      <c r="L97" s="114" t="str">
        <f aca="false">IF(G97="","",G97-K97)</f>
        <v/>
      </c>
      <c r="M97" s="115" t="str">
        <f aca="false">IF(OR(G97="",G97=0),"",L97/G97)</f>
        <v/>
      </c>
      <c r="N97" s="114" t="str">
        <f aca="false">IF(OR(G97="",I97="",I97=0),"",L97/I97)</f>
        <v/>
      </c>
      <c r="O97" s="61" t="str">
        <f aca="false">IF(N97="","",IF(N97&lt;Calculadora!$E$12,"Abaixo do piso",IF(N97&lt;Calculadora!$E$13,"Acima do piso","Na meta")))</f>
        <v/>
      </c>
      <c r="P97" s="89"/>
    </row>
    <row r="98" customFormat="false" ht="21.75" hidden="false" customHeight="true" outlineLevel="0" collapsed="false">
      <c r="B98" s="91"/>
      <c r="C98" s="89"/>
      <c r="D98" s="89"/>
      <c r="E98" s="89"/>
      <c r="F98" s="105"/>
      <c r="G98" s="104"/>
      <c r="H98" s="105"/>
      <c r="I98" s="90"/>
      <c r="J98" s="104"/>
      <c r="K98" s="113" t="str">
        <f aca="false">IF(G98="","",H98/1000*Calculadora!$E$8*(1+Calculadora!$E$9)+I98*Calculadora!$E$10/1000*Calculadora!$E$11+J98)</f>
        <v/>
      </c>
      <c r="L98" s="114" t="str">
        <f aca="false">IF(G98="","",G98-K98)</f>
        <v/>
      </c>
      <c r="M98" s="115" t="str">
        <f aca="false">IF(OR(G98="",G98=0),"",L98/G98)</f>
        <v/>
      </c>
      <c r="N98" s="114" t="str">
        <f aca="false">IF(OR(G98="",I98="",I98=0),"",L98/I98)</f>
        <v/>
      </c>
      <c r="O98" s="61" t="str">
        <f aca="false">IF(N98="","",IF(N98&lt;Calculadora!$E$12,"Abaixo do piso",IF(N98&lt;Calculadora!$E$13,"Acima do piso","Na meta")))</f>
        <v/>
      </c>
      <c r="P98" s="89"/>
    </row>
    <row r="99" customFormat="false" ht="21.75" hidden="false" customHeight="true" outlineLevel="0" collapsed="false">
      <c r="B99" s="91"/>
      <c r="C99" s="89"/>
      <c r="D99" s="89"/>
      <c r="E99" s="89"/>
      <c r="F99" s="105"/>
      <c r="G99" s="104"/>
      <c r="H99" s="105"/>
      <c r="I99" s="90"/>
      <c r="J99" s="104"/>
      <c r="K99" s="113" t="str">
        <f aca="false">IF(G99="","",H99/1000*Calculadora!$E$8*(1+Calculadora!$E$9)+I99*Calculadora!$E$10/1000*Calculadora!$E$11+J99)</f>
        <v/>
      </c>
      <c r="L99" s="114" t="str">
        <f aca="false">IF(G99="","",G99-K99)</f>
        <v/>
      </c>
      <c r="M99" s="115" t="str">
        <f aca="false">IF(OR(G99="",G99=0),"",L99/G99)</f>
        <v/>
      </c>
      <c r="N99" s="114" t="str">
        <f aca="false">IF(OR(G99="",I99="",I99=0),"",L99/I99)</f>
        <v/>
      </c>
      <c r="O99" s="61" t="str">
        <f aca="false">IF(N99="","",IF(N99&lt;Calculadora!$E$12,"Abaixo do piso",IF(N99&lt;Calculadora!$E$13,"Acima do piso","Na meta")))</f>
        <v/>
      </c>
      <c r="P99" s="89"/>
    </row>
    <row r="100" customFormat="false" ht="21.75" hidden="false" customHeight="true" outlineLevel="0" collapsed="false">
      <c r="B100" s="91"/>
      <c r="C100" s="89"/>
      <c r="D100" s="89"/>
      <c r="E100" s="89"/>
      <c r="F100" s="105"/>
      <c r="G100" s="104"/>
      <c r="H100" s="105"/>
      <c r="I100" s="90"/>
      <c r="J100" s="104"/>
      <c r="K100" s="113" t="str">
        <f aca="false">IF(G100="","",H100/1000*Calculadora!$E$8*(1+Calculadora!$E$9)+I100*Calculadora!$E$10/1000*Calculadora!$E$11+J100)</f>
        <v/>
      </c>
      <c r="L100" s="114" t="str">
        <f aca="false">IF(G100="","",G100-K100)</f>
        <v/>
      </c>
      <c r="M100" s="115" t="str">
        <f aca="false">IF(OR(G100="",G100=0),"",L100/G100)</f>
        <v/>
      </c>
      <c r="N100" s="114" t="str">
        <f aca="false">IF(OR(G100="",I100="",I100=0),"",L100/I100)</f>
        <v/>
      </c>
      <c r="O100" s="61" t="str">
        <f aca="false">IF(N100="","",IF(N100&lt;Calculadora!$E$12,"Abaixo do piso",IF(N100&lt;Calculadora!$E$13,"Acima do piso","Na meta")))</f>
        <v/>
      </c>
      <c r="P100" s="89"/>
    </row>
    <row r="101" customFormat="false" ht="21.75" hidden="false" customHeight="true" outlineLevel="0" collapsed="false">
      <c r="B101" s="91"/>
      <c r="C101" s="89"/>
      <c r="D101" s="89"/>
      <c r="E101" s="89"/>
      <c r="F101" s="105"/>
      <c r="G101" s="104"/>
      <c r="H101" s="105"/>
      <c r="I101" s="90"/>
      <c r="J101" s="104"/>
      <c r="K101" s="113" t="str">
        <f aca="false">IF(G101="","",H101/1000*Calculadora!$E$8*(1+Calculadora!$E$9)+I101*Calculadora!$E$10/1000*Calculadora!$E$11+J101)</f>
        <v/>
      </c>
      <c r="L101" s="114" t="str">
        <f aca="false">IF(G101="","",G101-K101)</f>
        <v/>
      </c>
      <c r="M101" s="115" t="str">
        <f aca="false">IF(OR(G101="",G101=0),"",L101/G101)</f>
        <v/>
      </c>
      <c r="N101" s="114" t="str">
        <f aca="false">IF(OR(G101="",I101="",I101=0),"",L101/I101)</f>
        <v/>
      </c>
      <c r="O101" s="61" t="str">
        <f aca="false">IF(N101="","",IF(N101&lt;Calculadora!$E$12,"Abaixo do piso",IF(N101&lt;Calculadora!$E$13,"Acima do piso","Na meta")))</f>
        <v/>
      </c>
      <c r="P101" s="89"/>
    </row>
    <row r="102" customFormat="false" ht="21.75" hidden="false" customHeight="true" outlineLevel="0" collapsed="false">
      <c r="B102" s="91"/>
      <c r="C102" s="89"/>
      <c r="D102" s="89"/>
      <c r="E102" s="89"/>
      <c r="F102" s="105"/>
      <c r="G102" s="104"/>
      <c r="H102" s="105"/>
      <c r="I102" s="90"/>
      <c r="J102" s="104"/>
      <c r="K102" s="113" t="str">
        <f aca="false">IF(G102="","",H102/1000*Calculadora!$E$8*(1+Calculadora!$E$9)+I102*Calculadora!$E$10/1000*Calculadora!$E$11+J102)</f>
        <v/>
      </c>
      <c r="L102" s="114" t="str">
        <f aca="false">IF(G102="","",G102-K102)</f>
        <v/>
      </c>
      <c r="M102" s="115" t="str">
        <f aca="false">IF(OR(G102="",G102=0),"",L102/G102)</f>
        <v/>
      </c>
      <c r="N102" s="114" t="str">
        <f aca="false">IF(OR(G102="",I102="",I102=0),"",L102/I102)</f>
        <v/>
      </c>
      <c r="O102" s="61" t="str">
        <f aca="false">IF(N102="","",IF(N102&lt;Calculadora!$E$12,"Abaixo do piso",IF(N102&lt;Calculadora!$E$13,"Acima do piso","Na meta")))</f>
        <v/>
      </c>
      <c r="P102" s="89"/>
    </row>
    <row r="103" customFormat="false" ht="21.75" hidden="false" customHeight="true" outlineLevel="0" collapsed="false">
      <c r="B103" s="91"/>
      <c r="C103" s="89"/>
      <c r="D103" s="89"/>
      <c r="E103" s="89"/>
      <c r="F103" s="105"/>
      <c r="G103" s="104"/>
      <c r="H103" s="105"/>
      <c r="I103" s="90"/>
      <c r="J103" s="104"/>
      <c r="K103" s="113" t="str">
        <f aca="false">IF(G103="","",H103/1000*Calculadora!$E$8*(1+Calculadora!$E$9)+I103*Calculadora!$E$10/1000*Calculadora!$E$11+J103)</f>
        <v/>
      </c>
      <c r="L103" s="114" t="str">
        <f aca="false">IF(G103="","",G103-K103)</f>
        <v/>
      </c>
      <c r="M103" s="115" t="str">
        <f aca="false">IF(OR(G103="",G103=0),"",L103/G103)</f>
        <v/>
      </c>
      <c r="N103" s="114" t="str">
        <f aca="false">IF(OR(G103="",I103="",I103=0),"",L103/I103)</f>
        <v/>
      </c>
      <c r="O103" s="61" t="str">
        <f aca="false">IF(N103="","",IF(N103&lt;Calculadora!$E$12,"Abaixo do piso",IF(N103&lt;Calculadora!$E$13,"Acima do piso","Na meta")))</f>
        <v/>
      </c>
      <c r="P103" s="89"/>
    </row>
    <row r="104" customFormat="false" ht="21.75" hidden="false" customHeight="true" outlineLevel="0" collapsed="false">
      <c r="B104" s="91"/>
      <c r="C104" s="89"/>
      <c r="D104" s="89"/>
      <c r="E104" s="89"/>
      <c r="F104" s="105"/>
      <c r="G104" s="104"/>
      <c r="H104" s="105"/>
      <c r="I104" s="90"/>
      <c r="J104" s="104"/>
      <c r="K104" s="113" t="str">
        <f aca="false">IF(G104="","",H104/1000*Calculadora!$E$8*(1+Calculadora!$E$9)+I104*Calculadora!$E$10/1000*Calculadora!$E$11+J104)</f>
        <v/>
      </c>
      <c r="L104" s="114" t="str">
        <f aca="false">IF(G104="","",G104-K104)</f>
        <v/>
      </c>
      <c r="M104" s="115" t="str">
        <f aca="false">IF(OR(G104="",G104=0),"",L104/G104)</f>
        <v/>
      </c>
      <c r="N104" s="114" t="str">
        <f aca="false">IF(OR(G104="",I104="",I104=0),"",L104/I104)</f>
        <v/>
      </c>
      <c r="O104" s="61" t="str">
        <f aca="false">IF(N104="","",IF(N104&lt;Calculadora!$E$12,"Abaixo do piso",IF(N104&lt;Calculadora!$E$13,"Acima do piso","Na meta")))</f>
        <v/>
      </c>
      <c r="P104" s="89"/>
    </row>
    <row r="105" customFormat="false" ht="21.75" hidden="false" customHeight="true" outlineLevel="0" collapsed="false">
      <c r="B105" s="91"/>
      <c r="C105" s="89"/>
      <c r="D105" s="89"/>
      <c r="E105" s="89"/>
      <c r="F105" s="105"/>
      <c r="G105" s="104"/>
      <c r="H105" s="105"/>
      <c r="I105" s="90"/>
      <c r="J105" s="104"/>
      <c r="K105" s="113" t="str">
        <f aca="false">IF(G105="","",H105/1000*Calculadora!$E$8*(1+Calculadora!$E$9)+I105*Calculadora!$E$10/1000*Calculadora!$E$11+J105)</f>
        <v/>
      </c>
      <c r="L105" s="114" t="str">
        <f aca="false">IF(G105="","",G105-K105)</f>
        <v/>
      </c>
      <c r="M105" s="115" t="str">
        <f aca="false">IF(OR(G105="",G105=0),"",L105/G105)</f>
        <v/>
      </c>
      <c r="N105" s="114" t="str">
        <f aca="false">IF(OR(G105="",I105="",I105=0),"",L105/I105)</f>
        <v/>
      </c>
      <c r="O105" s="61" t="str">
        <f aca="false">IF(N105="","",IF(N105&lt;Calculadora!$E$12,"Abaixo do piso",IF(N105&lt;Calculadora!$E$13,"Acima do piso","Na meta")))</f>
        <v/>
      </c>
      <c r="P105" s="89"/>
    </row>
    <row r="106" customFormat="false" ht="21.75" hidden="false" customHeight="true" outlineLevel="0" collapsed="false">
      <c r="B106" s="91"/>
      <c r="C106" s="89"/>
      <c r="D106" s="89"/>
      <c r="E106" s="89"/>
      <c r="F106" s="105"/>
      <c r="G106" s="104"/>
      <c r="H106" s="105"/>
      <c r="I106" s="90"/>
      <c r="J106" s="104"/>
      <c r="K106" s="113" t="str">
        <f aca="false">IF(G106="","",H106/1000*Calculadora!$E$8*(1+Calculadora!$E$9)+I106*Calculadora!$E$10/1000*Calculadora!$E$11+J106)</f>
        <v/>
      </c>
      <c r="L106" s="114" t="str">
        <f aca="false">IF(G106="","",G106-K106)</f>
        <v/>
      </c>
      <c r="M106" s="115" t="str">
        <f aca="false">IF(OR(G106="",G106=0),"",L106/G106)</f>
        <v/>
      </c>
      <c r="N106" s="114" t="str">
        <f aca="false">IF(OR(G106="",I106="",I106=0),"",L106/I106)</f>
        <v/>
      </c>
      <c r="O106" s="61" t="str">
        <f aca="false">IF(N106="","",IF(N106&lt;Calculadora!$E$12,"Abaixo do piso",IF(N106&lt;Calculadora!$E$13,"Acima do piso","Na meta")))</f>
        <v/>
      </c>
      <c r="P106" s="89"/>
    </row>
    <row r="107" customFormat="false" ht="21.75" hidden="false" customHeight="true" outlineLevel="0" collapsed="false">
      <c r="B107" s="91"/>
      <c r="C107" s="89"/>
      <c r="D107" s="89"/>
      <c r="E107" s="89"/>
      <c r="F107" s="105"/>
      <c r="G107" s="104"/>
      <c r="H107" s="105"/>
      <c r="I107" s="90"/>
      <c r="J107" s="104"/>
      <c r="K107" s="113" t="str">
        <f aca="false">IF(G107="","",H107/1000*Calculadora!$E$8*(1+Calculadora!$E$9)+I107*Calculadora!$E$10/1000*Calculadora!$E$11+J107)</f>
        <v/>
      </c>
      <c r="L107" s="114" t="str">
        <f aca="false">IF(G107="","",G107-K107)</f>
        <v/>
      </c>
      <c r="M107" s="115" t="str">
        <f aca="false">IF(OR(G107="",G107=0),"",L107/G107)</f>
        <v/>
      </c>
      <c r="N107" s="114" t="str">
        <f aca="false">IF(OR(G107="",I107="",I107=0),"",L107/I107)</f>
        <v/>
      </c>
      <c r="O107" s="61" t="str">
        <f aca="false">IF(N107="","",IF(N107&lt;Calculadora!$E$12,"Abaixo do piso",IF(N107&lt;Calculadora!$E$13,"Acima do piso","Na meta")))</f>
        <v/>
      </c>
      <c r="P107" s="89"/>
    </row>
    <row r="108" customFormat="false" ht="21.75" hidden="false" customHeight="true" outlineLevel="0" collapsed="false">
      <c r="B108" s="91"/>
      <c r="C108" s="89"/>
      <c r="D108" s="89"/>
      <c r="E108" s="89"/>
      <c r="F108" s="105"/>
      <c r="G108" s="104"/>
      <c r="H108" s="105"/>
      <c r="I108" s="90"/>
      <c r="J108" s="104"/>
      <c r="K108" s="113" t="str">
        <f aca="false">IF(G108="","",H108/1000*Calculadora!$E$8*(1+Calculadora!$E$9)+I108*Calculadora!$E$10/1000*Calculadora!$E$11+J108)</f>
        <v/>
      </c>
      <c r="L108" s="114" t="str">
        <f aca="false">IF(G108="","",G108-K108)</f>
        <v/>
      </c>
      <c r="M108" s="115" t="str">
        <f aca="false">IF(OR(G108="",G108=0),"",L108/G108)</f>
        <v/>
      </c>
      <c r="N108" s="114" t="str">
        <f aca="false">IF(OR(G108="",I108="",I108=0),"",L108/I108)</f>
        <v/>
      </c>
      <c r="O108" s="61" t="str">
        <f aca="false">IF(N108="","",IF(N108&lt;Calculadora!$E$12,"Abaixo do piso",IF(N108&lt;Calculadora!$E$13,"Acima do piso","Na meta")))</f>
        <v/>
      </c>
      <c r="P108" s="89"/>
    </row>
  </sheetData>
  <conditionalFormatting sqref="N9:O108">
    <cfRule type="expression" priority="2" aboveAverage="0" equalAverage="0" bottom="0" percent="0" rank="0" text="" dxfId="5">
      <formula>AND($N9&lt;&gt;"",$N9&lt;Calculadora!$E$12)</formula>
    </cfRule>
    <cfRule type="expression" priority="3" aboveAverage="0" equalAverage="0" bottom="0" percent="0" rank="0" text="" dxfId="6">
      <formula>AND($N9&lt;&gt;"",$N9&gt;=Calculadora!$E$13)</formula>
    </cfRule>
  </conditionalFormatting>
  <dataValidations count="2">
    <dataValidation allowBlank="true" errorStyle="stop" operator="between" showDropDown="false" showErrorMessage="false" showInputMessage="false" sqref="C10:C108" type="list">
      <formula1>Biblioteca!$C$8:$C$17</formula1>
      <formula2>0</formula2>
    </dataValidation>
    <dataValidation allowBlank="true" errorStyle="stop" operator="between" showDropDown="false" showErrorMessage="false" showInputMessage="false" sqref="P9:P108" type="list">
      <formula1>"Sim,Não,Ainda não"</formula1>
      <formula2>0</formula2>
    </dataValidation>
  </dataValidations>
  <hyperlinks>
    <hyperlink ref="P6" location="'Painel'!A1" display="Ir para o Painel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true"/>
  </sheetPr>
  <dimension ref="A1:M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5" min="3" style="0" width="22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30" hidden="false" customHeight="true" outlineLevel="0" collapsed="false">
      <c r="A3" s="1"/>
      <c r="B3" s="3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9.5" hidden="false" customHeight="true" outlineLevel="0" collapsed="false">
      <c r="A4" s="1"/>
      <c r="B4" s="4" t="s">
        <v>248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8" hidden="false" customHeight="true" outlineLevel="0" collapsed="false">
      <c r="L6" s="18" t="s">
        <v>49</v>
      </c>
    </row>
    <row r="7" customFormat="false" ht="19.5" hidden="false" customHeight="true" outlineLevel="0" collapsed="false">
      <c r="B7" s="116" t="s">
        <v>249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</row>
    <row r="8" customFormat="false" ht="19.5" hidden="false" customHeight="true" outlineLevel="0" collapsed="false"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</row>
    <row r="11" customFormat="false" ht="31.5" hidden="false" customHeight="true" outlineLevel="0" collapsed="false">
      <c r="B11" s="58" t="s">
        <v>237</v>
      </c>
      <c r="C11" s="58" t="s">
        <v>238</v>
      </c>
      <c r="D11" s="58" t="s">
        <v>180</v>
      </c>
      <c r="E11" s="58" t="s">
        <v>250</v>
      </c>
      <c r="F11" s="58" t="s">
        <v>251</v>
      </c>
      <c r="G11" s="58" t="s">
        <v>252</v>
      </c>
      <c r="H11" s="58" t="s">
        <v>253</v>
      </c>
      <c r="I11" s="58" t="s">
        <v>254</v>
      </c>
      <c r="J11" s="58" t="s">
        <v>255</v>
      </c>
      <c r="K11" s="58" t="s">
        <v>190</v>
      </c>
      <c r="L11" s="58" t="s">
        <v>256</v>
      </c>
    </row>
    <row r="12" customFormat="false" ht="25.5" hidden="false" customHeight="true" outlineLevel="0" collapsed="false">
      <c r="B12" s="86" t="n">
        <v>46315</v>
      </c>
      <c r="C12" s="84" t="s">
        <v>195</v>
      </c>
      <c r="D12" s="84"/>
      <c r="E12" s="84" t="s">
        <v>257</v>
      </c>
      <c r="F12" s="84" t="s">
        <v>258</v>
      </c>
      <c r="G12" s="84" t="s">
        <v>259</v>
      </c>
      <c r="H12" s="87" t="n">
        <v>150</v>
      </c>
      <c r="I12" s="84" t="s">
        <v>260</v>
      </c>
      <c r="J12" s="86" t="n">
        <v>46319</v>
      </c>
      <c r="K12" s="84" t="s">
        <v>261</v>
      </c>
      <c r="L12" s="62" t="n">
        <f aca="false">IF(C12="","",COUNTIF($C$12:$C$111,C12))</f>
        <v>1</v>
      </c>
    </row>
    <row r="13" customFormat="false" ht="25.5" hidden="false" customHeight="true" outlineLevel="0" collapsed="false">
      <c r="B13" s="91"/>
      <c r="C13" s="89"/>
      <c r="D13" s="89"/>
      <c r="E13" s="89"/>
      <c r="F13" s="89"/>
      <c r="G13" s="89"/>
      <c r="H13" s="92"/>
      <c r="I13" s="89"/>
      <c r="J13" s="91"/>
      <c r="K13" s="89"/>
      <c r="L13" s="62" t="str">
        <f aca="false">IF(C13="","",COUNTIF($C$12:$C$111,C13))</f>
        <v/>
      </c>
    </row>
    <row r="14" customFormat="false" ht="25.5" hidden="false" customHeight="true" outlineLevel="0" collapsed="false">
      <c r="B14" s="91"/>
      <c r="C14" s="89"/>
      <c r="D14" s="89"/>
      <c r="E14" s="89"/>
      <c r="F14" s="89"/>
      <c r="G14" s="89"/>
      <c r="H14" s="92"/>
      <c r="I14" s="89"/>
      <c r="J14" s="91"/>
      <c r="K14" s="89"/>
      <c r="L14" s="62" t="str">
        <f aca="false">IF(C14="","",COUNTIF($C$12:$C$111,C14))</f>
        <v/>
      </c>
    </row>
    <row r="15" customFormat="false" ht="25.5" hidden="false" customHeight="true" outlineLevel="0" collapsed="false">
      <c r="B15" s="91"/>
      <c r="C15" s="89"/>
      <c r="D15" s="89"/>
      <c r="E15" s="89"/>
      <c r="F15" s="89"/>
      <c r="G15" s="89"/>
      <c r="H15" s="92"/>
      <c r="I15" s="89"/>
      <c r="J15" s="91"/>
      <c r="K15" s="89"/>
      <c r="L15" s="62" t="str">
        <f aca="false">IF(C15="","",COUNTIF($C$12:$C$111,C15))</f>
        <v/>
      </c>
    </row>
    <row r="16" customFormat="false" ht="25.5" hidden="false" customHeight="true" outlineLevel="0" collapsed="false">
      <c r="B16" s="91"/>
      <c r="C16" s="89"/>
      <c r="D16" s="89"/>
      <c r="E16" s="89"/>
      <c r="F16" s="89"/>
      <c r="G16" s="89"/>
      <c r="H16" s="92"/>
      <c r="I16" s="89"/>
      <c r="J16" s="91"/>
      <c r="K16" s="89"/>
      <c r="L16" s="62" t="str">
        <f aca="false">IF(C16="","",COUNTIF($C$12:$C$111,C16))</f>
        <v/>
      </c>
    </row>
    <row r="17" customFormat="false" ht="25.5" hidden="false" customHeight="true" outlineLevel="0" collapsed="false">
      <c r="B17" s="91"/>
      <c r="C17" s="89"/>
      <c r="D17" s="89"/>
      <c r="E17" s="89"/>
      <c r="F17" s="89"/>
      <c r="G17" s="89"/>
      <c r="H17" s="92"/>
      <c r="I17" s="89"/>
      <c r="J17" s="91"/>
      <c r="K17" s="89"/>
      <c r="L17" s="62" t="str">
        <f aca="false">IF(C17="","",COUNTIF($C$12:$C$111,C17))</f>
        <v/>
      </c>
    </row>
    <row r="18" customFormat="false" ht="25.5" hidden="false" customHeight="true" outlineLevel="0" collapsed="false">
      <c r="B18" s="91"/>
      <c r="C18" s="89"/>
      <c r="D18" s="89"/>
      <c r="E18" s="89"/>
      <c r="F18" s="89"/>
      <c r="G18" s="89"/>
      <c r="H18" s="92"/>
      <c r="I18" s="89"/>
      <c r="J18" s="91"/>
      <c r="K18" s="89"/>
      <c r="L18" s="62" t="str">
        <f aca="false">IF(C18="","",COUNTIF($C$12:$C$111,C18))</f>
        <v/>
      </c>
    </row>
    <row r="19" customFormat="false" ht="25.5" hidden="false" customHeight="true" outlineLevel="0" collapsed="false">
      <c r="B19" s="91"/>
      <c r="C19" s="89"/>
      <c r="D19" s="89"/>
      <c r="E19" s="89"/>
      <c r="F19" s="89"/>
      <c r="G19" s="89"/>
      <c r="H19" s="92"/>
      <c r="I19" s="89"/>
      <c r="J19" s="91"/>
      <c r="K19" s="89"/>
      <c r="L19" s="62" t="str">
        <f aca="false">IF(C19="","",COUNTIF($C$12:$C$111,C19))</f>
        <v/>
      </c>
    </row>
    <row r="20" customFormat="false" ht="25.5" hidden="false" customHeight="true" outlineLevel="0" collapsed="false">
      <c r="B20" s="91"/>
      <c r="C20" s="89"/>
      <c r="D20" s="89"/>
      <c r="E20" s="89"/>
      <c r="F20" s="89"/>
      <c r="G20" s="89"/>
      <c r="H20" s="92"/>
      <c r="I20" s="89"/>
      <c r="J20" s="91"/>
      <c r="K20" s="89"/>
      <c r="L20" s="62" t="str">
        <f aca="false">IF(C20="","",COUNTIF($C$12:$C$111,C20))</f>
        <v/>
      </c>
    </row>
    <row r="21" customFormat="false" ht="25.5" hidden="false" customHeight="true" outlineLevel="0" collapsed="false">
      <c r="B21" s="91"/>
      <c r="C21" s="89"/>
      <c r="D21" s="89"/>
      <c r="E21" s="89"/>
      <c r="F21" s="89"/>
      <c r="G21" s="89"/>
      <c r="H21" s="92"/>
      <c r="I21" s="89"/>
      <c r="J21" s="91"/>
      <c r="K21" s="89"/>
      <c r="L21" s="62" t="str">
        <f aca="false">IF(C21="","",COUNTIF($C$12:$C$111,C21))</f>
        <v/>
      </c>
    </row>
    <row r="22" customFormat="false" ht="25.5" hidden="false" customHeight="true" outlineLevel="0" collapsed="false">
      <c r="B22" s="91"/>
      <c r="C22" s="89"/>
      <c r="D22" s="89"/>
      <c r="E22" s="89"/>
      <c r="F22" s="89"/>
      <c r="G22" s="89"/>
      <c r="H22" s="92"/>
      <c r="I22" s="89"/>
      <c r="J22" s="91"/>
      <c r="K22" s="89"/>
      <c r="L22" s="62" t="str">
        <f aca="false">IF(C22="","",COUNTIF($C$12:$C$111,C22))</f>
        <v/>
      </c>
    </row>
    <row r="23" customFormat="false" ht="25.5" hidden="false" customHeight="true" outlineLevel="0" collapsed="false">
      <c r="B23" s="91"/>
      <c r="C23" s="89"/>
      <c r="D23" s="89"/>
      <c r="E23" s="89"/>
      <c r="F23" s="89"/>
      <c r="G23" s="89"/>
      <c r="H23" s="92"/>
      <c r="I23" s="89"/>
      <c r="J23" s="91"/>
      <c r="K23" s="89"/>
      <c r="L23" s="62" t="str">
        <f aca="false">IF(C23="","",COUNTIF($C$12:$C$111,C23))</f>
        <v/>
      </c>
    </row>
    <row r="24" customFormat="false" ht="25.5" hidden="false" customHeight="true" outlineLevel="0" collapsed="false">
      <c r="B24" s="91"/>
      <c r="C24" s="89"/>
      <c r="D24" s="89"/>
      <c r="E24" s="89"/>
      <c r="F24" s="89"/>
      <c r="G24" s="89"/>
      <c r="H24" s="92"/>
      <c r="I24" s="89"/>
      <c r="J24" s="91"/>
      <c r="K24" s="89"/>
      <c r="L24" s="62" t="str">
        <f aca="false">IF(C24="","",COUNTIF($C$12:$C$111,C24))</f>
        <v/>
      </c>
    </row>
    <row r="25" customFormat="false" ht="25.5" hidden="false" customHeight="true" outlineLevel="0" collapsed="false">
      <c r="B25" s="91"/>
      <c r="C25" s="89"/>
      <c r="D25" s="89"/>
      <c r="E25" s="89"/>
      <c r="F25" s="89"/>
      <c r="G25" s="89"/>
      <c r="H25" s="92"/>
      <c r="I25" s="89"/>
      <c r="J25" s="91"/>
      <c r="K25" s="89"/>
      <c r="L25" s="62" t="str">
        <f aca="false">IF(C25="","",COUNTIF($C$12:$C$111,C25))</f>
        <v/>
      </c>
    </row>
    <row r="26" customFormat="false" ht="25.5" hidden="false" customHeight="true" outlineLevel="0" collapsed="false">
      <c r="B26" s="91"/>
      <c r="C26" s="89"/>
      <c r="D26" s="89"/>
      <c r="E26" s="89"/>
      <c r="F26" s="89"/>
      <c r="G26" s="89"/>
      <c r="H26" s="92"/>
      <c r="I26" s="89"/>
      <c r="J26" s="91"/>
      <c r="K26" s="89"/>
      <c r="L26" s="62" t="str">
        <f aca="false">IF(C26="","",COUNTIF($C$12:$C$111,C26))</f>
        <v/>
      </c>
    </row>
    <row r="27" customFormat="false" ht="25.5" hidden="false" customHeight="true" outlineLevel="0" collapsed="false">
      <c r="B27" s="91"/>
      <c r="C27" s="89"/>
      <c r="D27" s="89"/>
      <c r="E27" s="89"/>
      <c r="F27" s="89"/>
      <c r="G27" s="89"/>
      <c r="H27" s="92"/>
      <c r="I27" s="89"/>
      <c r="J27" s="91"/>
      <c r="K27" s="89"/>
      <c r="L27" s="62" t="str">
        <f aca="false">IF(C27="","",COUNTIF($C$12:$C$111,C27))</f>
        <v/>
      </c>
    </row>
    <row r="28" customFormat="false" ht="25.5" hidden="false" customHeight="true" outlineLevel="0" collapsed="false">
      <c r="B28" s="91"/>
      <c r="C28" s="89"/>
      <c r="D28" s="89"/>
      <c r="E28" s="89"/>
      <c r="F28" s="89"/>
      <c r="G28" s="89"/>
      <c r="H28" s="92"/>
      <c r="I28" s="89"/>
      <c r="J28" s="91"/>
      <c r="K28" s="89"/>
      <c r="L28" s="62" t="str">
        <f aca="false">IF(C28="","",COUNTIF($C$12:$C$111,C28))</f>
        <v/>
      </c>
    </row>
    <row r="29" customFormat="false" ht="25.5" hidden="false" customHeight="true" outlineLevel="0" collapsed="false">
      <c r="B29" s="91"/>
      <c r="C29" s="89"/>
      <c r="D29" s="89"/>
      <c r="E29" s="89"/>
      <c r="F29" s="89"/>
      <c r="G29" s="89"/>
      <c r="H29" s="92"/>
      <c r="I29" s="89"/>
      <c r="J29" s="91"/>
      <c r="K29" s="89"/>
      <c r="L29" s="62" t="str">
        <f aca="false">IF(C29="","",COUNTIF($C$12:$C$111,C29))</f>
        <v/>
      </c>
    </row>
    <row r="30" customFormat="false" ht="25.5" hidden="false" customHeight="true" outlineLevel="0" collapsed="false">
      <c r="B30" s="91"/>
      <c r="C30" s="89"/>
      <c r="D30" s="89"/>
      <c r="E30" s="89"/>
      <c r="F30" s="89"/>
      <c r="G30" s="89"/>
      <c r="H30" s="92"/>
      <c r="I30" s="89"/>
      <c r="J30" s="91"/>
      <c r="K30" s="89"/>
      <c r="L30" s="62" t="str">
        <f aca="false">IF(C30="","",COUNTIF($C$12:$C$111,C30))</f>
        <v/>
      </c>
    </row>
    <row r="31" customFormat="false" ht="25.5" hidden="false" customHeight="true" outlineLevel="0" collapsed="false">
      <c r="B31" s="91"/>
      <c r="C31" s="89"/>
      <c r="D31" s="89"/>
      <c r="E31" s="89"/>
      <c r="F31" s="89"/>
      <c r="G31" s="89"/>
      <c r="H31" s="92"/>
      <c r="I31" s="89"/>
      <c r="J31" s="91"/>
      <c r="K31" s="89"/>
      <c r="L31" s="62" t="str">
        <f aca="false">IF(C31="","",COUNTIF($C$12:$C$111,C31))</f>
        <v/>
      </c>
    </row>
    <row r="32" customFormat="false" ht="25.5" hidden="false" customHeight="true" outlineLevel="0" collapsed="false">
      <c r="B32" s="91"/>
      <c r="C32" s="89"/>
      <c r="D32" s="89"/>
      <c r="E32" s="89"/>
      <c r="F32" s="89"/>
      <c r="G32" s="89"/>
      <c r="H32" s="92"/>
      <c r="I32" s="89"/>
      <c r="J32" s="91"/>
      <c r="K32" s="89"/>
      <c r="L32" s="62" t="str">
        <f aca="false">IF(C32="","",COUNTIF($C$12:$C$111,C32))</f>
        <v/>
      </c>
    </row>
    <row r="33" customFormat="false" ht="25.5" hidden="false" customHeight="true" outlineLevel="0" collapsed="false">
      <c r="B33" s="91"/>
      <c r="C33" s="89"/>
      <c r="D33" s="89"/>
      <c r="E33" s="89"/>
      <c r="F33" s="89"/>
      <c r="G33" s="89"/>
      <c r="H33" s="92"/>
      <c r="I33" s="89"/>
      <c r="J33" s="91"/>
      <c r="K33" s="89"/>
      <c r="L33" s="62" t="str">
        <f aca="false">IF(C33="","",COUNTIF($C$12:$C$111,C33))</f>
        <v/>
      </c>
    </row>
    <row r="34" customFormat="false" ht="25.5" hidden="false" customHeight="true" outlineLevel="0" collapsed="false">
      <c r="B34" s="91"/>
      <c r="C34" s="89"/>
      <c r="D34" s="89"/>
      <c r="E34" s="89"/>
      <c r="F34" s="89"/>
      <c r="G34" s="89"/>
      <c r="H34" s="92"/>
      <c r="I34" s="89"/>
      <c r="J34" s="91"/>
      <c r="K34" s="89"/>
      <c r="L34" s="62" t="str">
        <f aca="false">IF(C34="","",COUNTIF($C$12:$C$111,C34))</f>
        <v/>
      </c>
    </row>
    <row r="35" customFormat="false" ht="25.5" hidden="false" customHeight="true" outlineLevel="0" collapsed="false">
      <c r="B35" s="91"/>
      <c r="C35" s="89"/>
      <c r="D35" s="89"/>
      <c r="E35" s="89"/>
      <c r="F35" s="89"/>
      <c r="G35" s="89"/>
      <c r="H35" s="92"/>
      <c r="I35" s="89"/>
      <c r="J35" s="91"/>
      <c r="K35" s="89"/>
      <c r="L35" s="62" t="str">
        <f aca="false">IF(C35="","",COUNTIF($C$12:$C$111,C35))</f>
        <v/>
      </c>
    </row>
    <row r="36" customFormat="false" ht="25.5" hidden="false" customHeight="true" outlineLevel="0" collapsed="false">
      <c r="B36" s="91"/>
      <c r="C36" s="89"/>
      <c r="D36" s="89"/>
      <c r="E36" s="89"/>
      <c r="F36" s="89"/>
      <c r="G36" s="89"/>
      <c r="H36" s="92"/>
      <c r="I36" s="89"/>
      <c r="J36" s="91"/>
      <c r="K36" s="89"/>
      <c r="L36" s="62" t="str">
        <f aca="false">IF(C36="","",COUNTIF($C$12:$C$111,C36))</f>
        <v/>
      </c>
    </row>
    <row r="37" customFormat="false" ht="25.5" hidden="false" customHeight="true" outlineLevel="0" collapsed="false">
      <c r="B37" s="91"/>
      <c r="C37" s="89"/>
      <c r="D37" s="89"/>
      <c r="E37" s="89"/>
      <c r="F37" s="89"/>
      <c r="G37" s="89"/>
      <c r="H37" s="92"/>
      <c r="I37" s="89"/>
      <c r="J37" s="91"/>
      <c r="K37" s="89"/>
      <c r="L37" s="62" t="str">
        <f aca="false">IF(C37="","",COUNTIF($C$12:$C$111,C37))</f>
        <v/>
      </c>
    </row>
    <row r="38" customFormat="false" ht="25.5" hidden="false" customHeight="true" outlineLevel="0" collapsed="false">
      <c r="B38" s="91"/>
      <c r="C38" s="89"/>
      <c r="D38" s="89"/>
      <c r="E38" s="89"/>
      <c r="F38" s="89"/>
      <c r="G38" s="89"/>
      <c r="H38" s="92"/>
      <c r="I38" s="89"/>
      <c r="J38" s="91"/>
      <c r="K38" s="89"/>
      <c r="L38" s="62" t="str">
        <f aca="false">IF(C38="","",COUNTIF($C$12:$C$111,C38))</f>
        <v/>
      </c>
    </row>
    <row r="39" customFormat="false" ht="25.5" hidden="false" customHeight="true" outlineLevel="0" collapsed="false">
      <c r="B39" s="91"/>
      <c r="C39" s="89"/>
      <c r="D39" s="89"/>
      <c r="E39" s="89"/>
      <c r="F39" s="89"/>
      <c r="G39" s="89"/>
      <c r="H39" s="92"/>
      <c r="I39" s="89"/>
      <c r="J39" s="91"/>
      <c r="K39" s="89"/>
      <c r="L39" s="62" t="str">
        <f aca="false">IF(C39="","",COUNTIF($C$12:$C$111,C39))</f>
        <v/>
      </c>
    </row>
    <row r="40" customFormat="false" ht="25.5" hidden="false" customHeight="true" outlineLevel="0" collapsed="false">
      <c r="B40" s="91"/>
      <c r="C40" s="89"/>
      <c r="D40" s="89"/>
      <c r="E40" s="89"/>
      <c r="F40" s="89"/>
      <c r="G40" s="89"/>
      <c r="H40" s="92"/>
      <c r="I40" s="89"/>
      <c r="J40" s="91"/>
      <c r="K40" s="89"/>
      <c r="L40" s="62" t="str">
        <f aca="false">IF(C40="","",COUNTIF($C$12:$C$111,C40))</f>
        <v/>
      </c>
    </row>
    <row r="41" customFormat="false" ht="25.5" hidden="false" customHeight="true" outlineLevel="0" collapsed="false">
      <c r="B41" s="91"/>
      <c r="C41" s="89"/>
      <c r="D41" s="89"/>
      <c r="E41" s="89"/>
      <c r="F41" s="89"/>
      <c r="G41" s="89"/>
      <c r="H41" s="92"/>
      <c r="I41" s="89"/>
      <c r="J41" s="91"/>
      <c r="K41" s="89"/>
      <c r="L41" s="62" t="str">
        <f aca="false">IF(C41="","",COUNTIF($C$12:$C$111,C41))</f>
        <v/>
      </c>
    </row>
    <row r="42" customFormat="false" ht="25.5" hidden="false" customHeight="true" outlineLevel="0" collapsed="false">
      <c r="B42" s="91"/>
      <c r="C42" s="89"/>
      <c r="D42" s="89"/>
      <c r="E42" s="89"/>
      <c r="F42" s="89"/>
      <c r="G42" s="89"/>
      <c r="H42" s="92"/>
      <c r="I42" s="89"/>
      <c r="J42" s="91"/>
      <c r="K42" s="89"/>
      <c r="L42" s="62" t="str">
        <f aca="false">IF(C42="","",COUNTIF($C$12:$C$111,C42))</f>
        <v/>
      </c>
    </row>
    <row r="43" customFormat="false" ht="25.5" hidden="false" customHeight="true" outlineLevel="0" collapsed="false">
      <c r="B43" s="91"/>
      <c r="C43" s="89"/>
      <c r="D43" s="89"/>
      <c r="E43" s="89"/>
      <c r="F43" s="89"/>
      <c r="G43" s="89"/>
      <c r="H43" s="92"/>
      <c r="I43" s="89"/>
      <c r="J43" s="91"/>
      <c r="K43" s="89"/>
      <c r="L43" s="62" t="str">
        <f aca="false">IF(C43="","",COUNTIF($C$12:$C$111,C43))</f>
        <v/>
      </c>
    </row>
    <row r="44" customFormat="false" ht="25.5" hidden="false" customHeight="true" outlineLevel="0" collapsed="false">
      <c r="B44" s="91"/>
      <c r="C44" s="89"/>
      <c r="D44" s="89"/>
      <c r="E44" s="89"/>
      <c r="F44" s="89"/>
      <c r="G44" s="89"/>
      <c r="H44" s="92"/>
      <c r="I44" s="89"/>
      <c r="J44" s="91"/>
      <c r="K44" s="89"/>
      <c r="L44" s="62" t="str">
        <f aca="false">IF(C44="","",COUNTIF($C$12:$C$111,C44))</f>
        <v/>
      </c>
    </row>
    <row r="45" customFormat="false" ht="25.5" hidden="false" customHeight="true" outlineLevel="0" collapsed="false">
      <c r="B45" s="91"/>
      <c r="C45" s="89"/>
      <c r="D45" s="89"/>
      <c r="E45" s="89"/>
      <c r="F45" s="89"/>
      <c r="G45" s="89"/>
      <c r="H45" s="92"/>
      <c r="I45" s="89"/>
      <c r="J45" s="91"/>
      <c r="K45" s="89"/>
      <c r="L45" s="62" t="str">
        <f aca="false">IF(C45="","",COUNTIF($C$12:$C$111,C45))</f>
        <v/>
      </c>
    </row>
    <row r="46" customFormat="false" ht="25.5" hidden="false" customHeight="true" outlineLevel="0" collapsed="false">
      <c r="B46" s="91"/>
      <c r="C46" s="89"/>
      <c r="D46" s="89"/>
      <c r="E46" s="89"/>
      <c r="F46" s="89"/>
      <c r="G46" s="89"/>
      <c r="H46" s="92"/>
      <c r="I46" s="89"/>
      <c r="J46" s="91"/>
      <c r="K46" s="89"/>
      <c r="L46" s="62" t="str">
        <f aca="false">IF(C46="","",COUNTIF($C$12:$C$111,C46))</f>
        <v/>
      </c>
    </row>
    <row r="47" customFormat="false" ht="25.5" hidden="false" customHeight="true" outlineLevel="0" collapsed="false">
      <c r="B47" s="91"/>
      <c r="C47" s="89"/>
      <c r="D47" s="89"/>
      <c r="E47" s="89"/>
      <c r="F47" s="89"/>
      <c r="G47" s="89"/>
      <c r="H47" s="92"/>
      <c r="I47" s="89"/>
      <c r="J47" s="91"/>
      <c r="K47" s="89"/>
      <c r="L47" s="62" t="str">
        <f aca="false">IF(C47="","",COUNTIF($C$12:$C$111,C47))</f>
        <v/>
      </c>
    </row>
    <row r="48" customFormat="false" ht="25.5" hidden="false" customHeight="true" outlineLevel="0" collapsed="false">
      <c r="B48" s="91"/>
      <c r="C48" s="89"/>
      <c r="D48" s="89"/>
      <c r="E48" s="89"/>
      <c r="F48" s="89"/>
      <c r="G48" s="89"/>
      <c r="H48" s="92"/>
      <c r="I48" s="89"/>
      <c r="J48" s="91"/>
      <c r="K48" s="89"/>
      <c r="L48" s="62" t="str">
        <f aca="false">IF(C48="","",COUNTIF($C$12:$C$111,C48))</f>
        <v/>
      </c>
    </row>
    <row r="49" customFormat="false" ht="25.5" hidden="false" customHeight="true" outlineLevel="0" collapsed="false">
      <c r="B49" s="91"/>
      <c r="C49" s="89"/>
      <c r="D49" s="89"/>
      <c r="E49" s="89"/>
      <c r="F49" s="89"/>
      <c r="G49" s="89"/>
      <c r="H49" s="92"/>
      <c r="I49" s="89"/>
      <c r="J49" s="91"/>
      <c r="K49" s="89"/>
      <c r="L49" s="62" t="str">
        <f aca="false">IF(C49="","",COUNTIF($C$12:$C$111,C49))</f>
        <v/>
      </c>
    </row>
    <row r="50" customFormat="false" ht="25.5" hidden="false" customHeight="true" outlineLevel="0" collapsed="false">
      <c r="B50" s="91"/>
      <c r="C50" s="89"/>
      <c r="D50" s="89"/>
      <c r="E50" s="89"/>
      <c r="F50" s="89"/>
      <c r="G50" s="89"/>
      <c r="H50" s="92"/>
      <c r="I50" s="89"/>
      <c r="J50" s="91"/>
      <c r="K50" s="89"/>
      <c r="L50" s="62" t="str">
        <f aca="false">IF(C50="","",COUNTIF($C$12:$C$111,C50))</f>
        <v/>
      </c>
    </row>
    <row r="51" customFormat="false" ht="25.5" hidden="false" customHeight="true" outlineLevel="0" collapsed="false">
      <c r="B51" s="91"/>
      <c r="C51" s="89"/>
      <c r="D51" s="89"/>
      <c r="E51" s="89"/>
      <c r="F51" s="89"/>
      <c r="G51" s="89"/>
      <c r="H51" s="92"/>
      <c r="I51" s="89"/>
      <c r="J51" s="91"/>
      <c r="K51" s="89"/>
      <c r="L51" s="62" t="str">
        <f aca="false">IF(C51="","",COUNTIF($C$12:$C$111,C51))</f>
        <v/>
      </c>
    </row>
    <row r="52" customFormat="false" ht="25.5" hidden="false" customHeight="true" outlineLevel="0" collapsed="false">
      <c r="B52" s="91"/>
      <c r="C52" s="89"/>
      <c r="D52" s="89"/>
      <c r="E52" s="89"/>
      <c r="F52" s="89"/>
      <c r="G52" s="89"/>
      <c r="H52" s="92"/>
      <c r="I52" s="89"/>
      <c r="J52" s="91"/>
      <c r="K52" s="89"/>
      <c r="L52" s="62" t="str">
        <f aca="false">IF(C52="","",COUNTIF($C$12:$C$111,C52))</f>
        <v/>
      </c>
    </row>
    <row r="53" customFormat="false" ht="25.5" hidden="false" customHeight="true" outlineLevel="0" collapsed="false">
      <c r="B53" s="91"/>
      <c r="C53" s="89"/>
      <c r="D53" s="89"/>
      <c r="E53" s="89"/>
      <c r="F53" s="89"/>
      <c r="G53" s="89"/>
      <c r="H53" s="92"/>
      <c r="I53" s="89"/>
      <c r="J53" s="91"/>
      <c r="K53" s="89"/>
      <c r="L53" s="62" t="str">
        <f aca="false">IF(C53="","",COUNTIF($C$12:$C$111,C53))</f>
        <v/>
      </c>
    </row>
    <row r="54" customFormat="false" ht="25.5" hidden="false" customHeight="true" outlineLevel="0" collapsed="false">
      <c r="B54" s="91"/>
      <c r="C54" s="89"/>
      <c r="D54" s="89"/>
      <c r="E54" s="89"/>
      <c r="F54" s="89"/>
      <c r="G54" s="89"/>
      <c r="H54" s="92"/>
      <c r="I54" s="89"/>
      <c r="J54" s="91"/>
      <c r="K54" s="89"/>
      <c r="L54" s="62" t="str">
        <f aca="false">IF(C54="","",COUNTIF($C$12:$C$111,C54))</f>
        <v/>
      </c>
    </row>
    <row r="55" customFormat="false" ht="25.5" hidden="false" customHeight="true" outlineLevel="0" collapsed="false">
      <c r="B55" s="91"/>
      <c r="C55" s="89"/>
      <c r="D55" s="89"/>
      <c r="E55" s="89"/>
      <c r="F55" s="89"/>
      <c r="G55" s="89"/>
      <c r="H55" s="92"/>
      <c r="I55" s="89"/>
      <c r="J55" s="91"/>
      <c r="K55" s="89"/>
      <c r="L55" s="62" t="str">
        <f aca="false">IF(C55="","",COUNTIF($C$12:$C$111,C55))</f>
        <v/>
      </c>
    </row>
    <row r="56" customFormat="false" ht="25.5" hidden="false" customHeight="true" outlineLevel="0" collapsed="false">
      <c r="B56" s="91"/>
      <c r="C56" s="89"/>
      <c r="D56" s="89"/>
      <c r="E56" s="89"/>
      <c r="F56" s="89"/>
      <c r="G56" s="89"/>
      <c r="H56" s="92"/>
      <c r="I56" s="89"/>
      <c r="J56" s="91"/>
      <c r="K56" s="89"/>
      <c r="L56" s="62" t="str">
        <f aca="false">IF(C56="","",COUNTIF($C$12:$C$111,C56))</f>
        <v/>
      </c>
    </row>
    <row r="57" customFormat="false" ht="25.5" hidden="false" customHeight="true" outlineLevel="0" collapsed="false">
      <c r="B57" s="91"/>
      <c r="C57" s="89"/>
      <c r="D57" s="89"/>
      <c r="E57" s="89"/>
      <c r="F57" s="89"/>
      <c r="G57" s="89"/>
      <c r="H57" s="92"/>
      <c r="I57" s="89"/>
      <c r="J57" s="91"/>
      <c r="K57" s="89"/>
      <c r="L57" s="62" t="str">
        <f aca="false">IF(C57="","",COUNTIF($C$12:$C$111,C57))</f>
        <v/>
      </c>
    </row>
    <row r="58" customFormat="false" ht="25.5" hidden="false" customHeight="true" outlineLevel="0" collapsed="false">
      <c r="B58" s="91"/>
      <c r="C58" s="89"/>
      <c r="D58" s="89"/>
      <c r="E58" s="89"/>
      <c r="F58" s="89"/>
      <c r="G58" s="89"/>
      <c r="H58" s="92"/>
      <c r="I58" s="89"/>
      <c r="J58" s="91"/>
      <c r="K58" s="89"/>
      <c r="L58" s="62" t="str">
        <f aca="false">IF(C58="","",COUNTIF($C$12:$C$111,C58))</f>
        <v/>
      </c>
    </row>
    <row r="59" customFormat="false" ht="25.5" hidden="false" customHeight="true" outlineLevel="0" collapsed="false">
      <c r="B59" s="91"/>
      <c r="C59" s="89"/>
      <c r="D59" s="89"/>
      <c r="E59" s="89"/>
      <c r="F59" s="89"/>
      <c r="G59" s="89"/>
      <c r="H59" s="92"/>
      <c r="I59" s="89"/>
      <c r="J59" s="91"/>
      <c r="K59" s="89"/>
      <c r="L59" s="62" t="str">
        <f aca="false">IF(C59="","",COUNTIF($C$12:$C$111,C59))</f>
        <v/>
      </c>
    </row>
    <row r="60" customFormat="false" ht="25.5" hidden="false" customHeight="true" outlineLevel="0" collapsed="false">
      <c r="B60" s="91"/>
      <c r="C60" s="89"/>
      <c r="D60" s="89"/>
      <c r="E60" s="89"/>
      <c r="F60" s="89"/>
      <c r="G60" s="89"/>
      <c r="H60" s="92"/>
      <c r="I60" s="89"/>
      <c r="J60" s="91"/>
      <c r="K60" s="89"/>
      <c r="L60" s="62" t="str">
        <f aca="false">IF(C60="","",COUNTIF($C$12:$C$111,C60))</f>
        <v/>
      </c>
    </row>
    <row r="61" customFormat="false" ht="25.5" hidden="false" customHeight="true" outlineLevel="0" collapsed="false">
      <c r="B61" s="91"/>
      <c r="C61" s="89"/>
      <c r="D61" s="89"/>
      <c r="E61" s="89"/>
      <c r="F61" s="89"/>
      <c r="G61" s="89"/>
      <c r="H61" s="92"/>
      <c r="I61" s="89"/>
      <c r="J61" s="91"/>
      <c r="K61" s="89"/>
      <c r="L61" s="62" t="str">
        <f aca="false">IF(C61="","",COUNTIF($C$12:$C$111,C61))</f>
        <v/>
      </c>
    </row>
    <row r="62" customFormat="false" ht="25.5" hidden="false" customHeight="true" outlineLevel="0" collapsed="false">
      <c r="B62" s="91"/>
      <c r="C62" s="89"/>
      <c r="D62" s="89"/>
      <c r="E62" s="89"/>
      <c r="F62" s="89"/>
      <c r="G62" s="89"/>
      <c r="H62" s="92"/>
      <c r="I62" s="89"/>
      <c r="J62" s="91"/>
      <c r="K62" s="89"/>
      <c r="L62" s="62" t="str">
        <f aca="false">IF(C62="","",COUNTIF($C$12:$C$111,C62))</f>
        <v/>
      </c>
    </row>
    <row r="63" customFormat="false" ht="25.5" hidden="false" customHeight="true" outlineLevel="0" collapsed="false">
      <c r="B63" s="91"/>
      <c r="C63" s="89"/>
      <c r="D63" s="89"/>
      <c r="E63" s="89"/>
      <c r="F63" s="89"/>
      <c r="G63" s="89"/>
      <c r="H63" s="92"/>
      <c r="I63" s="89"/>
      <c r="J63" s="91"/>
      <c r="K63" s="89"/>
      <c r="L63" s="62" t="str">
        <f aca="false">IF(C63="","",COUNTIF($C$12:$C$111,C63))</f>
        <v/>
      </c>
    </row>
    <row r="64" customFormat="false" ht="25.5" hidden="false" customHeight="true" outlineLevel="0" collapsed="false">
      <c r="B64" s="91"/>
      <c r="C64" s="89"/>
      <c r="D64" s="89"/>
      <c r="E64" s="89"/>
      <c r="F64" s="89"/>
      <c r="G64" s="89"/>
      <c r="H64" s="92"/>
      <c r="I64" s="89"/>
      <c r="J64" s="91"/>
      <c r="K64" s="89"/>
      <c r="L64" s="62" t="str">
        <f aca="false">IF(C64="","",COUNTIF($C$12:$C$111,C64))</f>
        <v/>
      </c>
    </row>
    <row r="65" customFormat="false" ht="25.5" hidden="false" customHeight="true" outlineLevel="0" collapsed="false">
      <c r="B65" s="91"/>
      <c r="C65" s="89"/>
      <c r="D65" s="89"/>
      <c r="E65" s="89"/>
      <c r="F65" s="89"/>
      <c r="G65" s="89"/>
      <c r="H65" s="92"/>
      <c r="I65" s="89"/>
      <c r="J65" s="91"/>
      <c r="K65" s="89"/>
      <c r="L65" s="62" t="str">
        <f aca="false">IF(C65="","",COUNTIF($C$12:$C$111,C65))</f>
        <v/>
      </c>
    </row>
    <row r="66" customFormat="false" ht="25.5" hidden="false" customHeight="true" outlineLevel="0" collapsed="false">
      <c r="B66" s="91"/>
      <c r="C66" s="89"/>
      <c r="D66" s="89"/>
      <c r="E66" s="89"/>
      <c r="F66" s="89"/>
      <c r="G66" s="89"/>
      <c r="H66" s="92"/>
      <c r="I66" s="89"/>
      <c r="J66" s="91"/>
      <c r="K66" s="89"/>
      <c r="L66" s="62" t="str">
        <f aca="false">IF(C66="","",COUNTIF($C$12:$C$111,C66))</f>
        <v/>
      </c>
    </row>
    <row r="67" customFormat="false" ht="25.5" hidden="false" customHeight="true" outlineLevel="0" collapsed="false">
      <c r="B67" s="91"/>
      <c r="C67" s="89"/>
      <c r="D67" s="89"/>
      <c r="E67" s="89"/>
      <c r="F67" s="89"/>
      <c r="G67" s="89"/>
      <c r="H67" s="92"/>
      <c r="I67" s="89"/>
      <c r="J67" s="91"/>
      <c r="K67" s="89"/>
      <c r="L67" s="62" t="str">
        <f aca="false">IF(C67="","",COUNTIF($C$12:$C$111,C67))</f>
        <v/>
      </c>
    </row>
    <row r="68" customFormat="false" ht="25.5" hidden="false" customHeight="true" outlineLevel="0" collapsed="false">
      <c r="B68" s="91"/>
      <c r="C68" s="89"/>
      <c r="D68" s="89"/>
      <c r="E68" s="89"/>
      <c r="F68" s="89"/>
      <c r="G68" s="89"/>
      <c r="H68" s="92"/>
      <c r="I68" s="89"/>
      <c r="J68" s="91"/>
      <c r="K68" s="89"/>
      <c r="L68" s="62" t="str">
        <f aca="false">IF(C68="","",COUNTIF($C$12:$C$111,C68))</f>
        <v/>
      </c>
    </row>
    <row r="69" customFormat="false" ht="25.5" hidden="false" customHeight="true" outlineLevel="0" collapsed="false">
      <c r="B69" s="91"/>
      <c r="C69" s="89"/>
      <c r="D69" s="89"/>
      <c r="E69" s="89"/>
      <c r="F69" s="89"/>
      <c r="G69" s="89"/>
      <c r="H69" s="92"/>
      <c r="I69" s="89"/>
      <c r="J69" s="91"/>
      <c r="K69" s="89"/>
      <c r="L69" s="62" t="str">
        <f aca="false">IF(C69="","",COUNTIF($C$12:$C$111,C69))</f>
        <v/>
      </c>
    </row>
    <row r="70" customFormat="false" ht="25.5" hidden="false" customHeight="true" outlineLevel="0" collapsed="false">
      <c r="B70" s="91"/>
      <c r="C70" s="89"/>
      <c r="D70" s="89"/>
      <c r="E70" s="89"/>
      <c r="F70" s="89"/>
      <c r="G70" s="89"/>
      <c r="H70" s="92"/>
      <c r="I70" s="89"/>
      <c r="J70" s="91"/>
      <c r="K70" s="89"/>
      <c r="L70" s="62" t="str">
        <f aca="false">IF(C70="","",COUNTIF($C$12:$C$111,C70))</f>
        <v/>
      </c>
    </row>
    <row r="71" customFormat="false" ht="25.5" hidden="false" customHeight="true" outlineLevel="0" collapsed="false">
      <c r="B71" s="91"/>
      <c r="C71" s="89"/>
      <c r="D71" s="89"/>
      <c r="E71" s="89"/>
      <c r="F71" s="89"/>
      <c r="G71" s="89"/>
      <c r="H71" s="92"/>
      <c r="I71" s="89"/>
      <c r="J71" s="91"/>
      <c r="K71" s="89"/>
      <c r="L71" s="62" t="str">
        <f aca="false">IF(C71="","",COUNTIF($C$12:$C$111,C71))</f>
        <v/>
      </c>
    </row>
    <row r="72" customFormat="false" ht="25.5" hidden="false" customHeight="true" outlineLevel="0" collapsed="false">
      <c r="B72" s="91"/>
      <c r="C72" s="89"/>
      <c r="D72" s="89"/>
      <c r="E72" s="89"/>
      <c r="F72" s="89"/>
      <c r="G72" s="89"/>
      <c r="H72" s="92"/>
      <c r="I72" s="89"/>
      <c r="J72" s="91"/>
      <c r="K72" s="89"/>
      <c r="L72" s="62" t="str">
        <f aca="false">IF(C72="","",COUNTIF($C$12:$C$111,C72))</f>
        <v/>
      </c>
    </row>
    <row r="73" customFormat="false" ht="25.5" hidden="false" customHeight="true" outlineLevel="0" collapsed="false">
      <c r="B73" s="91"/>
      <c r="C73" s="89"/>
      <c r="D73" s="89"/>
      <c r="E73" s="89"/>
      <c r="F73" s="89"/>
      <c r="G73" s="89"/>
      <c r="H73" s="92"/>
      <c r="I73" s="89"/>
      <c r="J73" s="91"/>
      <c r="K73" s="89"/>
      <c r="L73" s="62" t="str">
        <f aca="false">IF(C73="","",COUNTIF($C$12:$C$111,C73))</f>
        <v/>
      </c>
    </row>
    <row r="74" customFormat="false" ht="25.5" hidden="false" customHeight="true" outlineLevel="0" collapsed="false">
      <c r="B74" s="91"/>
      <c r="C74" s="89"/>
      <c r="D74" s="89"/>
      <c r="E74" s="89"/>
      <c r="F74" s="89"/>
      <c r="G74" s="89"/>
      <c r="H74" s="92"/>
      <c r="I74" s="89"/>
      <c r="J74" s="91"/>
      <c r="K74" s="89"/>
      <c r="L74" s="62" t="str">
        <f aca="false">IF(C74="","",COUNTIF($C$12:$C$111,C74))</f>
        <v/>
      </c>
    </row>
    <row r="75" customFormat="false" ht="25.5" hidden="false" customHeight="true" outlineLevel="0" collapsed="false">
      <c r="B75" s="91"/>
      <c r="C75" s="89"/>
      <c r="D75" s="89"/>
      <c r="E75" s="89"/>
      <c r="F75" s="89"/>
      <c r="G75" s="89"/>
      <c r="H75" s="92"/>
      <c r="I75" s="89"/>
      <c r="J75" s="91"/>
      <c r="K75" s="89"/>
      <c r="L75" s="62" t="str">
        <f aca="false">IF(C75="","",COUNTIF($C$12:$C$111,C75))</f>
        <v/>
      </c>
    </row>
    <row r="76" customFormat="false" ht="25.5" hidden="false" customHeight="true" outlineLevel="0" collapsed="false">
      <c r="B76" s="91"/>
      <c r="C76" s="89"/>
      <c r="D76" s="89"/>
      <c r="E76" s="89"/>
      <c r="F76" s="89"/>
      <c r="G76" s="89"/>
      <c r="H76" s="92"/>
      <c r="I76" s="89"/>
      <c r="J76" s="91"/>
      <c r="K76" s="89"/>
      <c r="L76" s="62" t="str">
        <f aca="false">IF(C76="","",COUNTIF($C$12:$C$111,C76))</f>
        <v/>
      </c>
    </row>
    <row r="77" customFormat="false" ht="25.5" hidden="false" customHeight="true" outlineLevel="0" collapsed="false">
      <c r="B77" s="91"/>
      <c r="C77" s="89"/>
      <c r="D77" s="89"/>
      <c r="E77" s="89"/>
      <c r="F77" s="89"/>
      <c r="G77" s="89"/>
      <c r="H77" s="92"/>
      <c r="I77" s="89"/>
      <c r="J77" s="91"/>
      <c r="K77" s="89"/>
      <c r="L77" s="62" t="str">
        <f aca="false">IF(C77="","",COUNTIF($C$12:$C$111,C77))</f>
        <v/>
      </c>
    </row>
    <row r="78" customFormat="false" ht="25.5" hidden="false" customHeight="true" outlineLevel="0" collapsed="false">
      <c r="B78" s="91"/>
      <c r="C78" s="89"/>
      <c r="D78" s="89"/>
      <c r="E78" s="89"/>
      <c r="F78" s="89"/>
      <c r="G78" s="89"/>
      <c r="H78" s="92"/>
      <c r="I78" s="89"/>
      <c r="J78" s="91"/>
      <c r="K78" s="89"/>
      <c r="L78" s="62" t="str">
        <f aca="false">IF(C78="","",COUNTIF($C$12:$C$111,C78))</f>
        <v/>
      </c>
    </row>
    <row r="79" customFormat="false" ht="25.5" hidden="false" customHeight="true" outlineLevel="0" collapsed="false">
      <c r="B79" s="91"/>
      <c r="C79" s="89"/>
      <c r="D79" s="89"/>
      <c r="E79" s="89"/>
      <c r="F79" s="89"/>
      <c r="G79" s="89"/>
      <c r="H79" s="92"/>
      <c r="I79" s="89"/>
      <c r="J79" s="91"/>
      <c r="K79" s="89"/>
      <c r="L79" s="62" t="str">
        <f aca="false">IF(C79="","",COUNTIF($C$12:$C$111,C79))</f>
        <v/>
      </c>
    </row>
    <row r="80" customFormat="false" ht="25.5" hidden="false" customHeight="true" outlineLevel="0" collapsed="false">
      <c r="B80" s="91"/>
      <c r="C80" s="89"/>
      <c r="D80" s="89"/>
      <c r="E80" s="89"/>
      <c r="F80" s="89"/>
      <c r="G80" s="89"/>
      <c r="H80" s="92"/>
      <c r="I80" s="89"/>
      <c r="J80" s="91"/>
      <c r="K80" s="89"/>
      <c r="L80" s="62" t="str">
        <f aca="false">IF(C80="","",COUNTIF($C$12:$C$111,C80))</f>
        <v/>
      </c>
    </row>
    <row r="81" customFormat="false" ht="25.5" hidden="false" customHeight="true" outlineLevel="0" collapsed="false">
      <c r="B81" s="91"/>
      <c r="C81" s="89"/>
      <c r="D81" s="89"/>
      <c r="E81" s="89"/>
      <c r="F81" s="89"/>
      <c r="G81" s="89"/>
      <c r="H81" s="92"/>
      <c r="I81" s="89"/>
      <c r="J81" s="91"/>
      <c r="K81" s="89"/>
      <c r="L81" s="62" t="str">
        <f aca="false">IF(C81="","",COUNTIF($C$12:$C$111,C81))</f>
        <v/>
      </c>
    </row>
    <row r="82" customFormat="false" ht="25.5" hidden="false" customHeight="true" outlineLevel="0" collapsed="false">
      <c r="B82" s="91"/>
      <c r="C82" s="89"/>
      <c r="D82" s="89"/>
      <c r="E82" s="89"/>
      <c r="F82" s="89"/>
      <c r="G82" s="89"/>
      <c r="H82" s="92"/>
      <c r="I82" s="89"/>
      <c r="J82" s="91"/>
      <c r="K82" s="89"/>
      <c r="L82" s="62" t="str">
        <f aca="false">IF(C82="","",COUNTIF($C$12:$C$111,C82))</f>
        <v/>
      </c>
    </row>
    <row r="83" customFormat="false" ht="25.5" hidden="false" customHeight="true" outlineLevel="0" collapsed="false">
      <c r="B83" s="91"/>
      <c r="C83" s="89"/>
      <c r="D83" s="89"/>
      <c r="E83" s="89"/>
      <c r="F83" s="89"/>
      <c r="G83" s="89"/>
      <c r="H83" s="92"/>
      <c r="I83" s="89"/>
      <c r="J83" s="91"/>
      <c r="K83" s="89"/>
      <c r="L83" s="62" t="str">
        <f aca="false">IF(C83="","",COUNTIF($C$12:$C$111,C83))</f>
        <v/>
      </c>
    </row>
    <row r="84" customFormat="false" ht="25.5" hidden="false" customHeight="true" outlineLevel="0" collapsed="false">
      <c r="B84" s="91"/>
      <c r="C84" s="89"/>
      <c r="D84" s="89"/>
      <c r="E84" s="89"/>
      <c r="F84" s="89"/>
      <c r="G84" s="89"/>
      <c r="H84" s="92"/>
      <c r="I84" s="89"/>
      <c r="J84" s="91"/>
      <c r="K84" s="89"/>
      <c r="L84" s="62" t="str">
        <f aca="false">IF(C84="","",COUNTIF($C$12:$C$111,C84))</f>
        <v/>
      </c>
    </row>
    <row r="85" customFormat="false" ht="25.5" hidden="false" customHeight="true" outlineLevel="0" collapsed="false">
      <c r="B85" s="91"/>
      <c r="C85" s="89"/>
      <c r="D85" s="89"/>
      <c r="E85" s="89"/>
      <c r="F85" s="89"/>
      <c r="G85" s="89"/>
      <c r="H85" s="92"/>
      <c r="I85" s="89"/>
      <c r="J85" s="91"/>
      <c r="K85" s="89"/>
      <c r="L85" s="62" t="str">
        <f aca="false">IF(C85="","",COUNTIF($C$12:$C$111,C85))</f>
        <v/>
      </c>
    </row>
    <row r="86" customFormat="false" ht="25.5" hidden="false" customHeight="true" outlineLevel="0" collapsed="false">
      <c r="B86" s="91"/>
      <c r="C86" s="89"/>
      <c r="D86" s="89"/>
      <c r="E86" s="89"/>
      <c r="F86" s="89"/>
      <c r="G86" s="89"/>
      <c r="H86" s="92"/>
      <c r="I86" s="89"/>
      <c r="J86" s="91"/>
      <c r="K86" s="89"/>
      <c r="L86" s="62" t="str">
        <f aca="false">IF(C86="","",COUNTIF($C$12:$C$111,C86))</f>
        <v/>
      </c>
    </row>
    <row r="87" customFormat="false" ht="25.5" hidden="false" customHeight="true" outlineLevel="0" collapsed="false">
      <c r="B87" s="91"/>
      <c r="C87" s="89"/>
      <c r="D87" s="89"/>
      <c r="E87" s="89"/>
      <c r="F87" s="89"/>
      <c r="G87" s="89"/>
      <c r="H87" s="92"/>
      <c r="I87" s="89"/>
      <c r="J87" s="91"/>
      <c r="K87" s="89"/>
      <c r="L87" s="62" t="str">
        <f aca="false">IF(C87="","",COUNTIF($C$12:$C$111,C87))</f>
        <v/>
      </c>
    </row>
    <row r="88" customFormat="false" ht="25.5" hidden="false" customHeight="true" outlineLevel="0" collapsed="false">
      <c r="B88" s="91"/>
      <c r="C88" s="89"/>
      <c r="D88" s="89"/>
      <c r="E88" s="89"/>
      <c r="F88" s="89"/>
      <c r="G88" s="89"/>
      <c r="H88" s="92"/>
      <c r="I88" s="89"/>
      <c r="J88" s="91"/>
      <c r="K88" s="89"/>
      <c r="L88" s="62" t="str">
        <f aca="false">IF(C88="","",COUNTIF($C$12:$C$111,C88))</f>
        <v/>
      </c>
    </row>
    <row r="89" customFormat="false" ht="25.5" hidden="false" customHeight="true" outlineLevel="0" collapsed="false">
      <c r="B89" s="91"/>
      <c r="C89" s="89"/>
      <c r="D89" s="89"/>
      <c r="E89" s="89"/>
      <c r="F89" s="89"/>
      <c r="G89" s="89"/>
      <c r="H89" s="92"/>
      <c r="I89" s="89"/>
      <c r="J89" s="91"/>
      <c r="K89" s="89"/>
      <c r="L89" s="62" t="str">
        <f aca="false">IF(C89="","",COUNTIF($C$12:$C$111,C89))</f>
        <v/>
      </c>
    </row>
    <row r="90" customFormat="false" ht="25.5" hidden="false" customHeight="true" outlineLevel="0" collapsed="false">
      <c r="B90" s="91"/>
      <c r="C90" s="89"/>
      <c r="D90" s="89"/>
      <c r="E90" s="89"/>
      <c r="F90" s="89"/>
      <c r="G90" s="89"/>
      <c r="H90" s="92"/>
      <c r="I90" s="89"/>
      <c r="J90" s="91"/>
      <c r="K90" s="89"/>
      <c r="L90" s="62" t="str">
        <f aca="false">IF(C90="","",COUNTIF($C$12:$C$111,C90))</f>
        <v/>
      </c>
    </row>
    <row r="91" customFormat="false" ht="25.5" hidden="false" customHeight="true" outlineLevel="0" collapsed="false">
      <c r="B91" s="91"/>
      <c r="C91" s="89"/>
      <c r="D91" s="89"/>
      <c r="E91" s="89"/>
      <c r="F91" s="89"/>
      <c r="G91" s="89"/>
      <c r="H91" s="92"/>
      <c r="I91" s="89"/>
      <c r="J91" s="91"/>
      <c r="K91" s="89"/>
      <c r="L91" s="62" t="str">
        <f aca="false">IF(C91="","",COUNTIF($C$12:$C$111,C91))</f>
        <v/>
      </c>
    </row>
    <row r="92" customFormat="false" ht="25.5" hidden="false" customHeight="true" outlineLevel="0" collapsed="false">
      <c r="B92" s="91"/>
      <c r="C92" s="89"/>
      <c r="D92" s="89"/>
      <c r="E92" s="89"/>
      <c r="F92" s="89"/>
      <c r="G92" s="89"/>
      <c r="H92" s="92"/>
      <c r="I92" s="89"/>
      <c r="J92" s="91"/>
      <c r="K92" s="89"/>
      <c r="L92" s="62" t="str">
        <f aca="false">IF(C92="","",COUNTIF($C$12:$C$111,C92))</f>
        <v/>
      </c>
    </row>
    <row r="93" customFormat="false" ht="25.5" hidden="false" customHeight="true" outlineLevel="0" collapsed="false">
      <c r="B93" s="91"/>
      <c r="C93" s="89"/>
      <c r="D93" s="89"/>
      <c r="E93" s="89"/>
      <c r="F93" s="89"/>
      <c r="G93" s="89"/>
      <c r="H93" s="92"/>
      <c r="I93" s="89"/>
      <c r="J93" s="91"/>
      <c r="K93" s="89"/>
      <c r="L93" s="62" t="str">
        <f aca="false">IF(C93="","",COUNTIF($C$12:$C$111,C93))</f>
        <v/>
      </c>
    </row>
    <row r="94" customFormat="false" ht="25.5" hidden="false" customHeight="true" outlineLevel="0" collapsed="false">
      <c r="B94" s="91"/>
      <c r="C94" s="89"/>
      <c r="D94" s="89"/>
      <c r="E94" s="89"/>
      <c r="F94" s="89"/>
      <c r="G94" s="89"/>
      <c r="H94" s="92"/>
      <c r="I94" s="89"/>
      <c r="J94" s="91"/>
      <c r="K94" s="89"/>
      <c r="L94" s="62" t="str">
        <f aca="false">IF(C94="","",COUNTIF($C$12:$C$111,C94))</f>
        <v/>
      </c>
    </row>
    <row r="95" customFormat="false" ht="25.5" hidden="false" customHeight="true" outlineLevel="0" collapsed="false">
      <c r="B95" s="91"/>
      <c r="C95" s="89"/>
      <c r="D95" s="89"/>
      <c r="E95" s="89"/>
      <c r="F95" s="89"/>
      <c r="G95" s="89"/>
      <c r="H95" s="92"/>
      <c r="I95" s="89"/>
      <c r="J95" s="91"/>
      <c r="K95" s="89"/>
      <c r="L95" s="62" t="str">
        <f aca="false">IF(C95="","",COUNTIF($C$12:$C$111,C95))</f>
        <v/>
      </c>
    </row>
    <row r="96" customFormat="false" ht="25.5" hidden="false" customHeight="true" outlineLevel="0" collapsed="false">
      <c r="B96" s="91"/>
      <c r="C96" s="89"/>
      <c r="D96" s="89"/>
      <c r="E96" s="89"/>
      <c r="F96" s="89"/>
      <c r="G96" s="89"/>
      <c r="H96" s="92"/>
      <c r="I96" s="89"/>
      <c r="J96" s="91"/>
      <c r="K96" s="89"/>
      <c r="L96" s="62" t="str">
        <f aca="false">IF(C96="","",COUNTIF($C$12:$C$111,C96))</f>
        <v/>
      </c>
    </row>
    <row r="97" customFormat="false" ht="25.5" hidden="false" customHeight="true" outlineLevel="0" collapsed="false">
      <c r="B97" s="91"/>
      <c r="C97" s="89"/>
      <c r="D97" s="89"/>
      <c r="E97" s="89"/>
      <c r="F97" s="89"/>
      <c r="G97" s="89"/>
      <c r="H97" s="92"/>
      <c r="I97" s="89"/>
      <c r="J97" s="91"/>
      <c r="K97" s="89"/>
      <c r="L97" s="62" t="str">
        <f aca="false">IF(C97="","",COUNTIF($C$12:$C$111,C97))</f>
        <v/>
      </c>
    </row>
    <row r="98" customFormat="false" ht="25.5" hidden="false" customHeight="true" outlineLevel="0" collapsed="false">
      <c r="B98" s="91"/>
      <c r="C98" s="89"/>
      <c r="D98" s="89"/>
      <c r="E98" s="89"/>
      <c r="F98" s="89"/>
      <c r="G98" s="89"/>
      <c r="H98" s="92"/>
      <c r="I98" s="89"/>
      <c r="J98" s="91"/>
      <c r="K98" s="89"/>
      <c r="L98" s="62" t="str">
        <f aca="false">IF(C98="","",COUNTIF($C$12:$C$111,C98))</f>
        <v/>
      </c>
    </row>
    <row r="99" customFormat="false" ht="25.5" hidden="false" customHeight="true" outlineLevel="0" collapsed="false">
      <c r="B99" s="91"/>
      <c r="C99" s="89"/>
      <c r="D99" s="89"/>
      <c r="E99" s="89"/>
      <c r="F99" s="89"/>
      <c r="G99" s="89"/>
      <c r="H99" s="92"/>
      <c r="I99" s="89"/>
      <c r="J99" s="91"/>
      <c r="K99" s="89"/>
      <c r="L99" s="62" t="str">
        <f aca="false">IF(C99="","",COUNTIF($C$12:$C$111,C99))</f>
        <v/>
      </c>
    </row>
    <row r="100" customFormat="false" ht="25.5" hidden="false" customHeight="true" outlineLevel="0" collapsed="false">
      <c r="B100" s="91"/>
      <c r="C100" s="89"/>
      <c r="D100" s="89"/>
      <c r="E100" s="89"/>
      <c r="F100" s="89"/>
      <c r="G100" s="89"/>
      <c r="H100" s="92"/>
      <c r="I100" s="89"/>
      <c r="J100" s="91"/>
      <c r="K100" s="89"/>
      <c r="L100" s="62" t="str">
        <f aca="false">IF(C100="","",COUNTIF($C$12:$C$111,C100))</f>
        <v/>
      </c>
    </row>
    <row r="101" customFormat="false" ht="25.5" hidden="false" customHeight="true" outlineLevel="0" collapsed="false">
      <c r="B101" s="91"/>
      <c r="C101" s="89"/>
      <c r="D101" s="89"/>
      <c r="E101" s="89"/>
      <c r="F101" s="89"/>
      <c r="G101" s="89"/>
      <c r="H101" s="92"/>
      <c r="I101" s="89"/>
      <c r="J101" s="91"/>
      <c r="K101" s="89"/>
      <c r="L101" s="62" t="str">
        <f aca="false">IF(C101="","",COUNTIF($C$12:$C$111,C101))</f>
        <v/>
      </c>
    </row>
    <row r="102" customFormat="false" ht="25.5" hidden="false" customHeight="true" outlineLevel="0" collapsed="false">
      <c r="B102" s="91"/>
      <c r="C102" s="89"/>
      <c r="D102" s="89"/>
      <c r="E102" s="89"/>
      <c r="F102" s="89"/>
      <c r="G102" s="89"/>
      <c r="H102" s="92"/>
      <c r="I102" s="89"/>
      <c r="J102" s="91"/>
      <c r="K102" s="89"/>
      <c r="L102" s="62" t="str">
        <f aca="false">IF(C102="","",COUNTIF($C$12:$C$111,C102))</f>
        <v/>
      </c>
    </row>
    <row r="103" customFormat="false" ht="25.5" hidden="false" customHeight="true" outlineLevel="0" collapsed="false">
      <c r="B103" s="91"/>
      <c r="C103" s="89"/>
      <c r="D103" s="89"/>
      <c r="E103" s="89"/>
      <c r="F103" s="89"/>
      <c r="G103" s="89"/>
      <c r="H103" s="92"/>
      <c r="I103" s="89"/>
      <c r="J103" s="91"/>
      <c r="K103" s="89"/>
      <c r="L103" s="62" t="str">
        <f aca="false">IF(C103="","",COUNTIF($C$12:$C$111,C103))</f>
        <v/>
      </c>
    </row>
    <row r="104" customFormat="false" ht="25.5" hidden="false" customHeight="true" outlineLevel="0" collapsed="false">
      <c r="B104" s="91"/>
      <c r="C104" s="89"/>
      <c r="D104" s="89"/>
      <c r="E104" s="89"/>
      <c r="F104" s="89"/>
      <c r="G104" s="89"/>
      <c r="H104" s="92"/>
      <c r="I104" s="89"/>
      <c r="J104" s="91"/>
      <c r="K104" s="89"/>
      <c r="L104" s="62" t="str">
        <f aca="false">IF(C104="","",COUNTIF($C$12:$C$111,C104))</f>
        <v/>
      </c>
    </row>
    <row r="105" customFormat="false" ht="25.5" hidden="false" customHeight="true" outlineLevel="0" collapsed="false">
      <c r="B105" s="91"/>
      <c r="C105" s="89"/>
      <c r="D105" s="89"/>
      <c r="E105" s="89"/>
      <c r="F105" s="89"/>
      <c r="G105" s="89"/>
      <c r="H105" s="92"/>
      <c r="I105" s="89"/>
      <c r="J105" s="91"/>
      <c r="K105" s="89"/>
      <c r="L105" s="62" t="str">
        <f aca="false">IF(C105="","",COUNTIF($C$12:$C$111,C105))</f>
        <v/>
      </c>
    </row>
    <row r="106" customFormat="false" ht="25.5" hidden="false" customHeight="true" outlineLevel="0" collapsed="false">
      <c r="B106" s="91"/>
      <c r="C106" s="89"/>
      <c r="D106" s="89"/>
      <c r="E106" s="89"/>
      <c r="F106" s="89"/>
      <c r="G106" s="89"/>
      <c r="H106" s="92"/>
      <c r="I106" s="89"/>
      <c r="J106" s="91"/>
      <c r="K106" s="89"/>
      <c r="L106" s="62" t="str">
        <f aca="false">IF(C106="","",COUNTIF($C$12:$C$111,C106))</f>
        <v/>
      </c>
    </row>
    <row r="107" customFormat="false" ht="25.5" hidden="false" customHeight="true" outlineLevel="0" collapsed="false">
      <c r="B107" s="91"/>
      <c r="C107" s="89"/>
      <c r="D107" s="89"/>
      <c r="E107" s="89"/>
      <c r="F107" s="89"/>
      <c r="G107" s="89"/>
      <c r="H107" s="92"/>
      <c r="I107" s="89"/>
      <c r="J107" s="91"/>
      <c r="K107" s="89"/>
      <c r="L107" s="62" t="str">
        <f aca="false">IF(C107="","",COUNTIF($C$12:$C$111,C107))</f>
        <v/>
      </c>
    </row>
    <row r="108" customFormat="false" ht="25.5" hidden="false" customHeight="true" outlineLevel="0" collapsed="false">
      <c r="B108" s="91"/>
      <c r="C108" s="89"/>
      <c r="D108" s="89"/>
      <c r="E108" s="89"/>
      <c r="F108" s="89"/>
      <c r="G108" s="89"/>
      <c r="H108" s="92"/>
      <c r="I108" s="89"/>
      <c r="J108" s="91"/>
      <c r="K108" s="89"/>
      <c r="L108" s="62" t="str">
        <f aca="false">IF(C108="","",COUNTIF($C$12:$C$111,C108))</f>
        <v/>
      </c>
    </row>
    <row r="109" customFormat="false" ht="25.5" hidden="false" customHeight="true" outlineLevel="0" collapsed="false">
      <c r="B109" s="91"/>
      <c r="C109" s="89"/>
      <c r="D109" s="89"/>
      <c r="E109" s="89"/>
      <c r="F109" s="89"/>
      <c r="G109" s="89"/>
      <c r="H109" s="92"/>
      <c r="I109" s="89"/>
      <c r="J109" s="91"/>
      <c r="K109" s="89"/>
      <c r="L109" s="62" t="str">
        <f aca="false">IF(C109="","",COUNTIF($C$12:$C$111,C109))</f>
        <v/>
      </c>
    </row>
    <row r="110" customFormat="false" ht="25.5" hidden="false" customHeight="true" outlineLevel="0" collapsed="false">
      <c r="B110" s="91"/>
      <c r="C110" s="89"/>
      <c r="D110" s="89"/>
      <c r="E110" s="89"/>
      <c r="F110" s="89"/>
      <c r="G110" s="89"/>
      <c r="H110" s="92"/>
      <c r="I110" s="89"/>
      <c r="J110" s="91"/>
      <c r="K110" s="89"/>
      <c r="L110" s="62" t="str">
        <f aca="false">IF(C110="","",COUNTIF($C$12:$C$111,C110))</f>
        <v/>
      </c>
    </row>
    <row r="111" customFormat="false" ht="25.5" hidden="false" customHeight="true" outlineLevel="0" collapsed="false">
      <c r="B111" s="91"/>
      <c r="C111" s="89"/>
      <c r="D111" s="89"/>
      <c r="E111" s="89"/>
      <c r="F111" s="89"/>
      <c r="G111" s="89"/>
      <c r="H111" s="92"/>
      <c r="I111" s="89"/>
      <c r="J111" s="91"/>
      <c r="K111" s="89"/>
      <c r="L111" s="62" t="str">
        <f aca="false">IF(C111="","",COUNTIF($C$12:$C$111,C111))</f>
        <v/>
      </c>
    </row>
  </sheetData>
  <mergeCells count="1">
    <mergeCell ref="B7:L8"/>
  </mergeCells>
  <conditionalFormatting sqref="L12:L111">
    <cfRule type="expression" priority="2" aboveAverage="0" equalAverage="0" bottom="0" percent="0" rank="0" text="" dxfId="0">
      <formula>AND(L12&lt;&gt;"",L12&gt;=3)</formula>
    </cfRule>
  </conditionalFormatting>
  <conditionalFormatting sqref="B12:L111">
    <cfRule type="expression" priority="3" aboveAverage="0" equalAverage="0" bottom="0" percent="0" rank="0" text="" dxfId="7">
      <formula>$K12="Fechou"</formula>
    </cfRule>
  </conditionalFormatting>
  <dataValidations count="3">
    <dataValidation allowBlank="true" errorStyle="stop" operator="between" showDropDown="false" showErrorMessage="false" showInputMessage="false" sqref="D12:D111" type="list">
      <formula1>Biblioteca!$C$8:$C$17</formula1>
      <formula2>0</formula2>
    </dataValidation>
    <dataValidation allowBlank="true" errorStyle="stop" operator="between" showDropDown="false" showErrorMessage="false" showInputMessage="false" sqref="E12:E111" type="list">
      <formula1>"Pergunta 1 da seção 11,Pergunta 2 da seção 11,Pergunta 3 da seção 11,Vi na operação,Indicação"</formula1>
      <formula2>0</formula2>
    </dataValidation>
    <dataValidation allowBlank="true" errorStyle="stop" operator="between" showDropDown="false" showErrorMessage="false" showInputMessage="false" sqref="K12:K111" type="list">
      <formula1>"Anotada,Proposta feita,Fechou,Não agora"</formula1>
      <formula2>0</formula2>
    </dataValidation>
  </dataValidations>
  <hyperlinks>
    <hyperlink ref="L6" location="'Painel'!A1" display="Ir para o Painel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9F"/>
    <pageSetUpPr fitToPage="tru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44"/>
    <col collapsed="false" customWidth="true" hidden="false" outlineLevel="0" max="11" min="11" style="0" width="34"/>
    <col collapsed="false" customWidth="true" hidden="false" outlineLevel="0" max="12" min="12" style="0" width="50"/>
    <col collapsed="false" customWidth="true" hidden="false" outlineLevel="0" max="13" min="13" style="0" width="16"/>
    <col collapsed="false" customWidth="true" hidden="false" outlineLevel="0" max="14" min="14" style="0" width="26"/>
    <col collapsed="false" customWidth="true" hidden="false" outlineLevel="0" max="15" min="15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"/>
      <c r="B3" s="3" t="s">
        <v>262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9.5" hidden="false" customHeight="true" outlineLevel="0" collapsed="false">
      <c r="A4" s="1"/>
      <c r="B4" s="4" t="s">
        <v>263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6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8" hidden="false" customHeight="true" outlineLevel="0" collapsed="false">
      <c r="N6" s="18" t="s">
        <v>49</v>
      </c>
    </row>
    <row r="7" customFormat="false" ht="31.5" hidden="false" customHeight="true" outlineLevel="0" collapsed="false">
      <c r="B7" s="58" t="s">
        <v>264</v>
      </c>
      <c r="C7" s="58" t="s">
        <v>180</v>
      </c>
      <c r="D7" s="58" t="s">
        <v>106</v>
      </c>
      <c r="E7" s="58" t="s">
        <v>108</v>
      </c>
      <c r="F7" s="58" t="s">
        <v>110</v>
      </c>
      <c r="G7" s="58" t="s">
        <v>112</v>
      </c>
      <c r="H7" s="58" t="s">
        <v>265</v>
      </c>
      <c r="I7" s="58" t="s">
        <v>266</v>
      </c>
      <c r="J7" s="58" t="s">
        <v>267</v>
      </c>
      <c r="K7" s="58" t="s">
        <v>268</v>
      </c>
      <c r="L7" s="58" t="s">
        <v>269</v>
      </c>
      <c r="M7" s="58" t="s">
        <v>270</v>
      </c>
      <c r="N7" s="58" t="s">
        <v>271</v>
      </c>
    </row>
    <row r="8" customFormat="false" ht="31.5" hidden="false" customHeight="true" outlineLevel="0" collapsed="false">
      <c r="B8" s="117" t="s">
        <v>65</v>
      </c>
      <c r="C8" s="118" t="s">
        <v>272</v>
      </c>
      <c r="D8" s="117" t="s">
        <v>273</v>
      </c>
      <c r="E8" s="117" t="s">
        <v>274</v>
      </c>
      <c r="F8" s="117" t="s">
        <v>275</v>
      </c>
      <c r="G8" s="117" t="s">
        <v>276</v>
      </c>
      <c r="H8" s="117" t="s">
        <v>277</v>
      </c>
      <c r="I8" s="117" t="s">
        <v>278</v>
      </c>
      <c r="J8" s="117" t="s">
        <v>279</v>
      </c>
      <c r="K8" s="44" t="s">
        <v>280</v>
      </c>
      <c r="L8" s="36" t="s">
        <v>281</v>
      </c>
      <c r="M8" s="119" t="s">
        <v>282</v>
      </c>
      <c r="N8" s="117" t="s">
        <v>283</v>
      </c>
    </row>
    <row r="9" customFormat="false" ht="31.5" hidden="false" customHeight="true" outlineLevel="0" collapsed="false">
      <c r="B9" s="117" t="s">
        <v>284</v>
      </c>
      <c r="C9" s="118" t="s">
        <v>285</v>
      </c>
      <c r="D9" s="117" t="s">
        <v>273</v>
      </c>
      <c r="E9" s="117" t="s">
        <v>286</v>
      </c>
      <c r="F9" s="117" t="s">
        <v>287</v>
      </c>
      <c r="G9" s="117" t="s">
        <v>288</v>
      </c>
      <c r="H9" s="117" t="s">
        <v>289</v>
      </c>
      <c r="I9" s="117" t="s">
        <v>290</v>
      </c>
      <c r="J9" s="117" t="s">
        <v>291</v>
      </c>
      <c r="K9" s="44" t="s">
        <v>292</v>
      </c>
      <c r="L9" s="36" t="s">
        <v>293</v>
      </c>
      <c r="M9" s="119" t="s">
        <v>294</v>
      </c>
      <c r="N9" s="117" t="s">
        <v>283</v>
      </c>
    </row>
    <row r="10" customFormat="false" ht="31.5" hidden="false" customHeight="true" outlineLevel="0" collapsed="false">
      <c r="B10" s="117" t="s">
        <v>68</v>
      </c>
      <c r="C10" s="118" t="s">
        <v>295</v>
      </c>
      <c r="D10" s="117" t="s">
        <v>273</v>
      </c>
      <c r="E10" s="117" t="s">
        <v>296</v>
      </c>
      <c r="F10" s="117" t="s">
        <v>297</v>
      </c>
      <c r="G10" s="117" t="s">
        <v>276</v>
      </c>
      <c r="H10" s="117" t="s">
        <v>298</v>
      </c>
      <c r="I10" s="117" t="s">
        <v>299</v>
      </c>
      <c r="J10" s="117" t="s">
        <v>300</v>
      </c>
      <c r="K10" s="44" t="s">
        <v>301</v>
      </c>
      <c r="L10" s="36" t="s">
        <v>302</v>
      </c>
      <c r="M10" s="119" t="s">
        <v>282</v>
      </c>
      <c r="N10" s="117" t="s">
        <v>303</v>
      </c>
    </row>
    <row r="11" customFormat="false" ht="31.5" hidden="false" customHeight="true" outlineLevel="0" collapsed="false">
      <c r="B11" s="117" t="s">
        <v>71</v>
      </c>
      <c r="C11" s="118" t="s">
        <v>280</v>
      </c>
      <c r="D11" s="117" t="s">
        <v>273</v>
      </c>
      <c r="E11" s="117" t="s">
        <v>304</v>
      </c>
      <c r="F11" s="117" t="s">
        <v>305</v>
      </c>
      <c r="G11" s="117" t="s">
        <v>306</v>
      </c>
      <c r="H11" s="117" t="s">
        <v>307</v>
      </c>
      <c r="I11" s="117" t="s">
        <v>308</v>
      </c>
      <c r="J11" s="117" t="s">
        <v>309</v>
      </c>
      <c r="K11" s="44" t="s">
        <v>272</v>
      </c>
      <c r="L11" s="36" t="s">
        <v>310</v>
      </c>
      <c r="M11" s="119" t="s">
        <v>282</v>
      </c>
      <c r="N11" s="117" t="s">
        <v>303</v>
      </c>
    </row>
    <row r="12" customFormat="false" ht="31.5" hidden="false" customHeight="true" outlineLevel="0" collapsed="false">
      <c r="B12" s="117" t="s">
        <v>311</v>
      </c>
      <c r="C12" s="118" t="s">
        <v>292</v>
      </c>
      <c r="D12" s="117" t="s">
        <v>312</v>
      </c>
      <c r="E12" s="117" t="s">
        <v>304</v>
      </c>
      <c r="F12" s="117" t="s">
        <v>313</v>
      </c>
      <c r="G12" s="117" t="s">
        <v>314</v>
      </c>
      <c r="H12" s="117" t="s">
        <v>315</v>
      </c>
      <c r="I12" s="117" t="s">
        <v>316</v>
      </c>
      <c r="J12" s="117" t="s">
        <v>317</v>
      </c>
      <c r="K12" s="44" t="s">
        <v>285</v>
      </c>
      <c r="L12" s="36" t="s">
        <v>293</v>
      </c>
      <c r="M12" s="119" t="s">
        <v>282</v>
      </c>
      <c r="N12" s="117" t="s">
        <v>303</v>
      </c>
    </row>
    <row r="13" customFormat="false" ht="31.5" hidden="false" customHeight="true" outlineLevel="0" collapsed="false">
      <c r="B13" s="117" t="s">
        <v>318</v>
      </c>
      <c r="C13" s="118" t="s">
        <v>319</v>
      </c>
      <c r="D13" s="117" t="s">
        <v>312</v>
      </c>
      <c r="E13" s="117" t="s">
        <v>320</v>
      </c>
      <c r="F13" s="117" t="s">
        <v>321</v>
      </c>
      <c r="G13" s="117" t="s">
        <v>314</v>
      </c>
      <c r="H13" s="117" t="s">
        <v>322</v>
      </c>
      <c r="I13" s="117" t="s">
        <v>323</v>
      </c>
      <c r="J13" s="117" t="s">
        <v>324</v>
      </c>
      <c r="K13" s="44" t="s">
        <v>325</v>
      </c>
      <c r="L13" s="36" t="s">
        <v>293</v>
      </c>
      <c r="M13" s="119" t="s">
        <v>282</v>
      </c>
      <c r="N13" s="117" t="s">
        <v>303</v>
      </c>
    </row>
    <row r="14" customFormat="false" ht="31.5" hidden="false" customHeight="true" outlineLevel="0" collapsed="false">
      <c r="B14" s="117" t="s">
        <v>77</v>
      </c>
      <c r="C14" s="118" t="s">
        <v>326</v>
      </c>
      <c r="D14" s="117" t="s">
        <v>312</v>
      </c>
      <c r="E14" s="117" t="s">
        <v>327</v>
      </c>
      <c r="F14" s="117" t="s">
        <v>305</v>
      </c>
      <c r="G14" s="117" t="s">
        <v>328</v>
      </c>
      <c r="H14" s="117" t="s">
        <v>329</v>
      </c>
      <c r="I14" s="117" t="s">
        <v>330</v>
      </c>
      <c r="J14" s="117" t="s">
        <v>331</v>
      </c>
      <c r="K14" s="44" t="s">
        <v>332</v>
      </c>
      <c r="L14" s="36" t="s">
        <v>333</v>
      </c>
      <c r="M14" s="119" t="s">
        <v>334</v>
      </c>
      <c r="N14" s="117" t="s">
        <v>335</v>
      </c>
    </row>
    <row r="15" customFormat="false" ht="31.5" hidden="false" customHeight="true" outlineLevel="0" collapsed="false">
      <c r="B15" s="117" t="s">
        <v>336</v>
      </c>
      <c r="C15" s="118" t="s">
        <v>332</v>
      </c>
      <c r="D15" s="117" t="s">
        <v>312</v>
      </c>
      <c r="E15" s="117" t="s">
        <v>337</v>
      </c>
      <c r="F15" s="117" t="s">
        <v>321</v>
      </c>
      <c r="G15" s="117" t="s">
        <v>338</v>
      </c>
      <c r="H15" s="117" t="s">
        <v>339</v>
      </c>
      <c r="I15" s="117" t="s">
        <v>340</v>
      </c>
      <c r="J15" s="117" t="s">
        <v>341</v>
      </c>
      <c r="K15" s="44" t="s">
        <v>326</v>
      </c>
      <c r="L15" s="36" t="s">
        <v>293</v>
      </c>
      <c r="M15" s="119" t="s">
        <v>342</v>
      </c>
      <c r="N15" s="117" t="s">
        <v>343</v>
      </c>
    </row>
    <row r="16" customFormat="false" ht="31.5" hidden="false" customHeight="true" outlineLevel="0" collapsed="false">
      <c r="B16" s="117" t="s">
        <v>74</v>
      </c>
      <c r="C16" s="118" t="s">
        <v>301</v>
      </c>
      <c r="D16" s="117" t="s">
        <v>344</v>
      </c>
      <c r="E16" s="117" t="s">
        <v>345</v>
      </c>
      <c r="F16" s="117" t="s">
        <v>346</v>
      </c>
      <c r="G16" s="117" t="s">
        <v>347</v>
      </c>
      <c r="H16" s="117" t="s">
        <v>348</v>
      </c>
      <c r="I16" s="117" t="s">
        <v>349</v>
      </c>
      <c r="J16" s="117" t="s">
        <v>350</v>
      </c>
      <c r="K16" s="44" t="s">
        <v>295</v>
      </c>
      <c r="L16" s="36" t="s">
        <v>351</v>
      </c>
      <c r="M16" s="119" t="s">
        <v>294</v>
      </c>
      <c r="N16" s="117" t="s">
        <v>283</v>
      </c>
    </row>
    <row r="17" customFormat="false" ht="31.5" hidden="false" customHeight="true" outlineLevel="0" collapsed="false">
      <c r="B17" s="117" t="s">
        <v>80</v>
      </c>
      <c r="C17" s="118" t="s">
        <v>325</v>
      </c>
      <c r="D17" s="117" t="s">
        <v>352</v>
      </c>
      <c r="E17" s="117" t="s">
        <v>353</v>
      </c>
      <c r="F17" s="117" t="s">
        <v>354</v>
      </c>
      <c r="G17" s="117" t="s">
        <v>276</v>
      </c>
      <c r="H17" s="117" t="s">
        <v>355</v>
      </c>
      <c r="I17" s="117" t="s">
        <v>356</v>
      </c>
      <c r="J17" s="117" t="s">
        <v>357</v>
      </c>
      <c r="K17" s="44" t="s">
        <v>319</v>
      </c>
      <c r="L17" s="36" t="s">
        <v>358</v>
      </c>
      <c r="M17" s="119" t="s">
        <v>282</v>
      </c>
      <c r="N17" s="117" t="s">
        <v>303</v>
      </c>
    </row>
    <row r="19" customFormat="false" ht="15" hidden="false" customHeight="false" outlineLevel="0" collapsed="false">
      <c r="B19" s="120" t="s">
        <v>359</v>
      </c>
    </row>
    <row r="20" customFormat="false" ht="30" hidden="false" customHeight="true" outlineLevel="0" collapsed="false">
      <c r="B20" s="73" t="s">
        <v>360</v>
      </c>
      <c r="C20" s="73"/>
      <c r="D20" s="73"/>
      <c r="E20" s="73"/>
      <c r="F20" s="73"/>
      <c r="G20" s="73"/>
      <c r="H20" s="73"/>
      <c r="I20" s="73"/>
      <c r="J20" s="73"/>
      <c r="K20" s="73"/>
    </row>
    <row r="22" customFormat="false" ht="15" hidden="false" customHeight="false" outlineLevel="0" collapsed="false">
      <c r="B22" s="121" t="s">
        <v>361</v>
      </c>
      <c r="F22" s="121" t="n">
        <f aca="false">IFERROR(MATCH(Painel!$E$7,$C$8:$C$17,0),0)</f>
        <v>0</v>
      </c>
    </row>
    <row r="23" customFormat="false" ht="15" hidden="false" customHeight="false" outlineLevel="0" collapsed="false">
      <c r="B23" s="121" t="s">
        <v>362</v>
      </c>
      <c r="F23" s="121" t="str">
        <f aca="false">IFERROR(INDEX($C$8:$C$17,MATCH(Seletor!$B$16,$B$8:$B$17,0)),"")</f>
        <v/>
      </c>
    </row>
    <row r="24" customFormat="false" ht="15" hidden="false" customHeight="false" outlineLevel="0" collapsed="false">
      <c r="B24" s="121" t="s">
        <v>363</v>
      </c>
      <c r="F24" s="121" t="n">
        <f aca="false">IFERROR(MATCH(Seletor!$B$16,$B$8:$B$17,0),0)</f>
        <v>0</v>
      </c>
    </row>
  </sheetData>
  <mergeCells count="1">
    <mergeCell ref="B20:K20"/>
  </mergeCells>
  <dataValidations count="1">
    <dataValidation allowBlank="true" errorStyle="stop" operator="between" showDropDown="false" showErrorMessage="false" showInputMessage="false" sqref="K8:K17" type="list">
      <formula1>$C$8:$C$17</formula1>
      <formula2>0</formula2>
    </dataValidation>
  </dataValidations>
  <hyperlinks>
    <hyperlink ref="N6" location="'Painel'!A1" display="Ir para o Painel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2026-09-26T17:04:05Z</dcterms:created>
  <dc:creator>openpyxl</dc:creator>
  <dc:description/>
  <dc:language>en-US</dc:language>
  <cp:lastModifiedBy/>
  <dcterms:modified xsi:type="dcterms:W3CDTF">2026-09-26T17:04:05Z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